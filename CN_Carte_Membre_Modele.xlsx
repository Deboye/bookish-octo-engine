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Architecture_Services" sheetId="2" state="visible" r:id="rId2"/>
    <sheet name="Hypotheses" sheetId="3" state="visible" r:id="rId3"/>
    <sheet name="Modele_Actuariel" sheetId="4" state="visible" r:id="rId4"/>
    <sheet name="Previsionnel_Membres" sheetId="5" state="visible" r:id="rId5"/>
    <sheet name="Compte_Resultat" sheetId="6" state="visible" r:id="rId6"/>
    <sheet name="Tableau_de_Bord" sheetId="7" state="visible" r:id="rId7"/>
    <sheet name="Feuille_de_Rou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 FCFA&quot;"/>
    <numFmt numFmtId="165" formatCode="0.0%"/>
    <numFmt numFmtId="166" formatCode="0.0"/>
    <numFmt numFmtId="167" formatCode="0.0&quot;×&quot;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b val="1"/>
      <i val="1"/>
      <color rgb="00C9A24B"/>
      <sz val="10"/>
    </font>
    <font>
      <b val="1"/>
      <color rgb="000F2A43"/>
      <sz val="12"/>
    </font>
    <font>
      <color rgb="00333333"/>
      <sz val="10"/>
    </font>
    <font>
      <b val="1"/>
      <color rgb="000F2A43"/>
      <sz val="11"/>
    </font>
    <font>
      <b val="1"/>
      <color rgb="002E7D5B"/>
      <sz val="10"/>
    </font>
    <font>
      <color rgb="00555555"/>
      <sz val="9"/>
    </font>
    <font>
      <name val="Calibri"/>
      <b val="1"/>
      <color rgb="00FFFFFF"/>
      <sz val="14"/>
    </font>
    <font>
      <b val="1"/>
      <color rgb="00FFFFFF"/>
      <sz val="10"/>
    </font>
    <font>
      <color rgb="00333333"/>
      <sz val="9"/>
    </font>
    <font>
      <b val="1"/>
      <color rgb="000F2A43"/>
      <sz val="9"/>
    </font>
    <font>
      <color rgb="00B23A48"/>
      <sz val="9"/>
    </font>
    <font>
      <b val="1"/>
      <color rgb="002E7D5B"/>
      <sz val="9"/>
    </font>
    <font>
      <name val="Calibri"/>
      <b val="1"/>
      <color rgb="000F2A43"/>
      <sz val="12"/>
    </font>
    <font>
      <i val="1"/>
      <color rgb="00777777"/>
      <sz val="9"/>
    </font>
    <font>
      <b val="1"/>
      <color rgb="000F2A43"/>
    </font>
    <font>
      <name val="Calibri"/>
      <b val="1"/>
      <color rgb="00FFFFFF"/>
      <sz val="12"/>
    </font>
    <font>
      <b val="1"/>
      <color rgb="00FFFFFF"/>
    </font>
    <font>
      <name val="Calibri"/>
      <b val="1"/>
      <color rgb="000F2A43"/>
      <sz val="11"/>
    </font>
    <font>
      <name val="Calibri"/>
      <b val="1"/>
      <color rgb="00FFFFFF"/>
      <sz val="13"/>
    </font>
    <font>
      <b val="1"/>
      <sz val="9"/>
    </font>
    <font>
      <b val="1"/>
      <color rgb="000F2A43"/>
      <sz val="10"/>
    </font>
  </fonts>
  <fills count="9">
    <fill>
      <patternFill/>
    </fill>
    <fill>
      <patternFill patternType="gray125"/>
    </fill>
    <fill>
      <patternFill patternType="solid">
        <fgColor rgb="000F2A43"/>
      </patternFill>
    </fill>
    <fill>
      <patternFill patternType="solid">
        <fgColor rgb="00F4F6F8"/>
      </patternFill>
    </fill>
    <fill>
      <patternFill patternType="solid">
        <fgColor rgb="00E8EDF2"/>
      </patternFill>
    </fill>
    <fill>
      <patternFill patternType="solid">
        <fgColor rgb="00F6E7E9"/>
      </patternFill>
    </fill>
    <fill>
      <patternFill patternType="solid">
        <fgColor rgb="00DFF0E6"/>
      </patternFill>
    </fill>
    <fill>
      <patternFill patternType="solid">
        <fgColor rgb="00C9A24B"/>
      </patternFill>
    </fill>
    <fill>
      <patternFill patternType="solid">
        <fgColor rgb="00FBF1D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indent="1"/>
    </xf>
    <xf numFmtId="0" fontId="3" fillId="0" borderId="0" pivotButton="0" quotePrefix="0" xfId="0"/>
    <xf numFmtId="0" fontId="4" fillId="0" borderId="0" pivotButton="0" quotePrefix="0" xfId="0"/>
    <xf numFmtId="0" fontId="4" fillId="3" borderId="1" pivotButton="0" quotePrefix="0" xfId="0"/>
    <xf numFmtId="3" fontId="5" fillId="3" borderId="1" applyAlignment="1" pivotButton="0" quotePrefix="0" xfId="0">
      <alignment horizontal="right" indent="1"/>
    </xf>
    <xf numFmtId="164" fontId="5" fillId="3" borderId="1" applyAlignment="1" pivotButton="0" quotePrefix="0" xfId="0">
      <alignment horizontal="right" indent="1"/>
    </xf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 indent="1"/>
    </xf>
    <xf numFmtId="0" fontId="10" fillId="4" borderId="1" applyAlignment="1" pivotButton="0" quotePrefix="0" xfId="0">
      <alignment horizontal="left" vertical="center" wrapText="1" indent="1"/>
    </xf>
    <xf numFmtId="0" fontId="12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 indent="1"/>
    </xf>
    <xf numFmtId="0" fontId="10" fillId="0" borderId="1" applyAlignment="1" pivotButton="0" quotePrefix="0" xfId="0">
      <alignment horizontal="left" vertical="center" wrapText="1" indent="1"/>
    </xf>
    <xf numFmtId="0" fontId="14" fillId="7" borderId="0" applyAlignment="1" pivotButton="0" quotePrefix="0" xfId="0">
      <alignment horizontal="left" vertical="center" indent="1"/>
    </xf>
    <xf numFmtId="0" fontId="11" fillId="3" borderId="1" pivotButton="0" quotePrefix="0" xfId="0"/>
    <xf numFmtId="0" fontId="10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9" fillId="2" borderId="0" applyAlignment="1" pivotButton="0" quotePrefix="0" xfId="0">
      <alignment vertical="center" indent="1"/>
    </xf>
    <xf numFmtId="0" fontId="4" fillId="0" borderId="1" pivotButton="0" quotePrefix="0" xfId="0"/>
    <xf numFmtId="164" fontId="5" fillId="8" borderId="1" applyAlignment="1" pivotButton="0" quotePrefix="0" xfId="0">
      <alignment horizontal="right" indent="1"/>
    </xf>
    <xf numFmtId="0" fontId="15" fillId="0" borderId="0" pivotButton="0" quotePrefix="0" xfId="0"/>
    <xf numFmtId="9" fontId="5" fillId="8" borderId="1" applyAlignment="1" pivotButton="0" quotePrefix="0" xfId="0">
      <alignment horizontal="right" indent="1"/>
    </xf>
    <xf numFmtId="165" fontId="5" fillId="8" borderId="1" applyAlignment="1" pivotButton="0" quotePrefix="0" xfId="0">
      <alignment horizontal="right" indent="1"/>
    </xf>
    <xf numFmtId="0" fontId="16" fillId="0" borderId="0" pivotButton="0" quotePrefix="0" xfId="0"/>
    <xf numFmtId="164" fontId="16" fillId="3" borderId="1" pivotButton="0" quotePrefix="0" xfId="0"/>
    <xf numFmtId="0" fontId="17" fillId="2" borderId="0" applyAlignment="1" pivotButton="0" quotePrefix="0" xfId="0">
      <alignment horizontal="left" vertical="center" indent="1"/>
    </xf>
    <xf numFmtId="0" fontId="11" fillId="4" borderId="1" pivotButton="0" quotePrefix="0" xfId="0"/>
    <xf numFmtId="164" fontId="10" fillId="4" borderId="1" pivotButton="0" quotePrefix="0" xfId="0"/>
    <xf numFmtId="166" fontId="10" fillId="4" borderId="1" pivotButton="0" quotePrefix="0" xfId="0"/>
    <xf numFmtId="9" fontId="10" fillId="0" borderId="1" applyAlignment="1" pivotButton="0" quotePrefix="0" xfId="0">
      <alignment horizontal="right" indent="1"/>
    </xf>
    <xf numFmtId="164" fontId="10" fillId="0" borderId="1" applyAlignment="1" pivotButton="0" quotePrefix="0" xfId="0">
      <alignment horizontal="right" indent="1"/>
    </xf>
    <xf numFmtId="0" fontId="11" fillId="0" borderId="1" pivotButton="0" quotePrefix="0" xfId="0"/>
    <xf numFmtId="164" fontId="10" fillId="0" borderId="1" pivotButton="0" quotePrefix="0" xfId="0"/>
    <xf numFmtId="166" fontId="10" fillId="0" borderId="1" pivotButton="0" quotePrefix="0" xfId="0"/>
    <xf numFmtId="0" fontId="18" fillId="2" borderId="1" pivotButton="0" quotePrefix="0" xfId="0"/>
    <xf numFmtId="0" fontId="0" fillId="2" borderId="1" pivotButton="0" quotePrefix="0" xfId="0"/>
    <xf numFmtId="164" fontId="18" fillId="2" borderId="1" applyAlignment="1" pivotButton="0" quotePrefix="0" xfId="0">
      <alignment horizontal="right" indent="1"/>
    </xf>
    <xf numFmtId="0" fontId="19" fillId="7" borderId="0" applyAlignment="1" pivotButton="0" quotePrefix="0" xfId="0">
      <alignment horizontal="left" vertical="center" indent="1"/>
    </xf>
    <xf numFmtId="164" fontId="6" fillId="0" borderId="1" applyAlignment="1" pivotButton="0" quotePrefix="0" xfId="0">
      <alignment horizontal="right" indent="1"/>
    </xf>
    <xf numFmtId="9" fontId="6" fillId="0" borderId="1" applyAlignment="1" pivotButton="0" quotePrefix="0" xfId="0">
      <alignment horizontal="right" indent="1"/>
    </xf>
    <xf numFmtId="167" fontId="6" fillId="0" borderId="1" applyAlignment="1" pivotButton="0" quotePrefix="0" xfId="0">
      <alignment horizontal="right" indent="1"/>
    </xf>
    <xf numFmtId="0" fontId="20" fillId="2" borderId="0" applyAlignment="1" pivotButton="0" quotePrefix="0" xfId="0">
      <alignment horizontal="left" vertical="center" indent="1"/>
    </xf>
    <xf numFmtId="3" fontId="10" fillId="4" borderId="1" applyAlignment="1" pivotButton="0" quotePrefix="0" xfId="0">
      <alignment horizontal="right" indent="1"/>
    </xf>
    <xf numFmtId="3" fontId="10" fillId="0" borderId="1" applyAlignment="1" pivotButton="0" quotePrefix="0" xfId="0">
      <alignment horizontal="right" indent="1"/>
    </xf>
    <xf numFmtId="164" fontId="10" fillId="4" borderId="1" applyAlignment="1" pivotButton="0" quotePrefix="0" xfId="0">
      <alignment horizontal="right" indent="1"/>
    </xf>
    <xf numFmtId="164" fontId="21" fillId="4" borderId="1" applyAlignment="1" pivotButton="0" quotePrefix="0" xfId="0">
      <alignment horizontal="right" indent="1"/>
    </xf>
    <xf numFmtId="164" fontId="21" fillId="0" borderId="1" applyAlignment="1" pivotButton="0" quotePrefix="0" xfId="0">
      <alignment horizontal="right" indent="1"/>
    </xf>
    <xf numFmtId="164" fontId="3" fillId="3" borderId="1" applyAlignment="1" pivotButton="0" quotePrefix="0" xfId="0">
      <alignment horizontal="right" indent="1"/>
    </xf>
    <xf numFmtId="165" fontId="3" fillId="3" borderId="1" applyAlignment="1" pivotButton="0" quotePrefix="0" xfId="0">
      <alignment horizontal="right" indent="1"/>
    </xf>
    <xf numFmtId="0" fontId="9" fillId="2" borderId="1" applyAlignment="1" pivotButton="0" quotePrefix="0" xfId="0">
      <alignment horizontal="center" vertical="top" wrapText="1"/>
    </xf>
    <xf numFmtId="0" fontId="22" fillId="0" borderId="1" applyAlignment="1" pivotButton="0" quotePrefix="0" xfId="0">
      <alignment horizontal="left" vertical="top" wrapText="1" indent="1"/>
    </xf>
    <xf numFmtId="0" fontId="10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Croissance des adhérents (36 mois)</a:t>
            </a:r>
          </a:p>
        </rich>
      </tx>
    </title>
    <plotArea>
      <lineChart>
        <grouping val="standard"/>
        <ser>
          <idx val="0"/>
          <order val="0"/>
          <tx>
            <strRef>
              <f>'Previsionnel_Membres'!B3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'Previsionnel_Membres'!$A$4:$A$39</f>
            </numRef>
          </cat>
          <val>
            <numRef>
              <f>'Previsionnel_Membres'!$B$4:$B$39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Revenu total &amp; résultat cumulé (FCFA)</a:t>
            </a:r>
          </a:p>
        </rich>
      </tx>
    </title>
    <plotArea>
      <lineChart>
        <grouping val="standard"/>
        <ser>
          <idx val="0"/>
          <order val="0"/>
          <tx>
            <strRef>
              <f>'Compte_Resultat'!F3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'Compte_Resultat'!$A$4:$A$39</f>
            </numRef>
          </cat>
          <val>
            <numRef>
              <f>'Compte_Resultat'!$F$4:$F$39</f>
            </numRef>
          </val>
        </ser>
        <ser>
          <idx val="1"/>
          <order val="1"/>
          <tx>
            <strRef>
              <f>'Compte_Resultat'!J3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'Compte_Resultat'!$A$4:$A$39</f>
            </numRef>
          </cat>
          <val>
            <numRef>
              <f>'Compte_Resultat'!$J$4:$J$39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10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25</row>
      <rowOff>0</rowOff>
    </from>
    <ext cx="54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2" customWidth="1" min="3" max="3"/>
    <col width="22" customWidth="1" min="4" max="4"/>
    <col width="22" customWidth="1" min="5" max="5"/>
    <col width="4" customWidth="1" min="6" max="6"/>
  </cols>
  <sheetData>
    <row r="2" ht="34" customHeight="1">
      <c r="B2" s="1" t="inlineStr">
        <is>
          <t>CARTE DE MEMBRE  —  CONSEIL NATIONAL DE L'ENTREPRENEURIAT (CN)</t>
        </is>
      </c>
    </row>
    <row r="3" ht="20" customHeight="1">
      <c r="B3" s="2" t="inlineStr">
        <is>
          <t>Réseau mutualisé de services premium pour chefs d'entreprise  |  Sénégal &amp; Afrique de l'Ouest</t>
        </is>
      </c>
    </row>
    <row r="5">
      <c r="B5" s="3" t="inlineStr">
        <is>
          <t>LE PRINCIPE  —  l'assurance appliquée au réseau d'affaires</t>
        </is>
      </c>
    </row>
    <row r="6" ht="15" customHeight="1">
      <c r="B6" s="4" t="inlineStr">
        <is>
          <t>Le membre paie une cotisation TRÈS accessible et accède à un réseau d'avantages négociés</t>
        </is>
      </c>
    </row>
    <row r="7" ht="15" customHeight="1">
      <c r="B7" s="4" t="inlineStr">
        <is>
          <t>dans de multiples branches : assurance, BTP, business lounge, aviation, conseil &amp; expertise</t>
        </is>
      </c>
    </row>
    <row r="8" ht="15" customHeight="1">
      <c r="B8" s="4" t="inlineStr">
        <is>
          <t>comptable, santé, formation, financement, mobilité, juridique, digital, télécom…</t>
        </is>
      </c>
    </row>
    <row r="9" ht="15" customHeight="1">
      <c r="B9" s="4" t="inlineStr"/>
    </row>
    <row r="10" ht="15" customHeight="1">
      <c r="B10" s="4" t="inlineStr">
        <is>
          <t>L'accessibilité repose sur un principe actuariel : TOUS les membres ne consomment PAS</t>
        </is>
      </c>
    </row>
    <row r="11" ht="15" customHeight="1">
      <c r="B11" s="4" t="inlineStr">
        <is>
          <t>TOUS les services. La probabilité de consommation de chaque service est faible, donc le coût</t>
        </is>
      </c>
    </row>
    <row r="12" ht="15" customHeight="1">
      <c r="B12" s="4" t="inlineStr">
        <is>
          <t>réel MUTUALISÉ par membre reste bien inférieur à la valeur faciale des avantages offerts.</t>
        </is>
      </c>
    </row>
    <row r="13" ht="15" customHeight="1">
      <c r="B13" s="4" t="inlineStr">
        <is>
          <t>La cotisation couvre le coût mutualisé + les frais + une marge ; la valeur perçue, elle,</t>
        </is>
      </c>
    </row>
    <row r="14" ht="15" customHeight="1">
      <c r="B14" s="4" t="inlineStr">
        <is>
          <t>est plusieurs fois supérieure au prix payé.</t>
        </is>
      </c>
    </row>
    <row r="16">
      <c r="B16" s="3" t="inlineStr">
        <is>
          <t>CHIFFRES CLÉS DU PRÉVISIONNEL (36 mois)</t>
        </is>
      </c>
    </row>
    <row r="17" ht="18" customHeight="1">
      <c r="B17" s="5" t="inlineStr">
        <is>
          <t>Membres actifs — mois 1 &amp; 2</t>
        </is>
      </c>
      <c r="D17" s="6">
        <f>'Previsionnel_Membres'!B4</f>
        <v/>
      </c>
    </row>
    <row r="18" ht="18" customHeight="1">
      <c r="B18" s="5" t="inlineStr">
        <is>
          <t>Membres actifs — cap. franchi (500+)</t>
        </is>
      </c>
      <c r="D18" s="6">
        <f>'Previsionnel_Membres'!B39</f>
        <v/>
      </c>
    </row>
    <row r="19" ht="18" customHeight="1">
      <c r="B19" s="5" t="inlineStr">
        <is>
          <t>Cotisation Essentiel / an</t>
        </is>
      </c>
      <c r="D19" s="7">
        <f>Hypotheses!B4</f>
        <v/>
      </c>
    </row>
    <row r="20" ht="18" customHeight="1">
      <c r="B20" s="5" t="inlineStr">
        <is>
          <t>Cotisation Business / an</t>
        </is>
      </c>
      <c r="D20" s="7">
        <f>Hypotheses!B5</f>
        <v/>
      </c>
    </row>
    <row r="21" ht="18" customHeight="1">
      <c r="B21" s="5" t="inlineStr">
        <is>
          <t>Cotisation Élite / an</t>
        </is>
      </c>
      <c r="D21" s="7">
        <f>Hypotheses!B6</f>
        <v/>
      </c>
    </row>
    <row r="22" ht="18" customHeight="1">
      <c r="B22" s="5" t="inlineStr">
        <is>
          <t>Revenu total mois 36</t>
        </is>
      </c>
      <c r="D22" s="7">
        <f>'Compte_Resultat'!F39</f>
        <v/>
      </c>
    </row>
    <row r="23" ht="18" customHeight="1">
      <c r="B23" s="5" t="inlineStr">
        <is>
          <t>Résultat mensuel mois 36</t>
        </is>
      </c>
      <c r="D23" s="7">
        <f>'Compte_Resultat'!I39</f>
        <v/>
      </c>
    </row>
    <row r="24" ht="18" customHeight="1">
      <c r="B24" s="5" t="inlineStr">
        <is>
          <t>Résultat cumulé à 36 mois</t>
        </is>
      </c>
      <c r="D24" s="7">
        <f>'Compte_Resultat'!J39</f>
        <v/>
      </c>
    </row>
    <row r="26">
      <c r="B26" s="3" t="inlineStr">
        <is>
          <t>SOMMAIRE DES FEUILLES</t>
        </is>
      </c>
    </row>
    <row r="27">
      <c r="B27" s="8" t="inlineStr">
        <is>
          <t>▸ Architecture_Services</t>
        </is>
      </c>
      <c r="C27" s="9" t="inlineStr">
        <is>
          <t>Les 15 branches du réseau, partenaires cibles, accès par formule</t>
        </is>
      </c>
    </row>
    <row r="28">
      <c r="B28" s="8" t="inlineStr">
        <is>
          <t>▸ Hypotheses</t>
        </is>
      </c>
      <c r="C28" s="9" t="inlineStr">
        <is>
          <t>Tous les paramètres modifiables : prix, mix, churn, OPEX</t>
        </is>
      </c>
    </row>
    <row r="29">
      <c r="B29" s="8" t="inlineStr">
        <is>
          <t>▸ Modele_Actuariel</t>
        </is>
      </c>
      <c r="C29" s="9" t="inlineStr">
        <is>
          <t>Cœur du modèle : probabilité de consommation → coût mutualisé</t>
        </is>
      </c>
    </row>
    <row r="30">
      <c r="B30" s="8" t="inlineStr">
        <is>
          <t>▸ Previsionnel_Membres</t>
        </is>
      </c>
      <c r="C30" s="9" t="inlineStr">
        <is>
          <t>Croissance des adhérents sur 36 mois (20 → 850+)</t>
        </is>
      </c>
    </row>
    <row r="31">
      <c r="B31" s="8" t="inlineStr">
        <is>
          <t>▸ Compte_Resultat</t>
        </is>
      </c>
      <c r="C31" s="9" t="inlineStr">
        <is>
          <t>P&amp;L mensuel : revenus, coûts services, OPEX, résultat</t>
        </is>
      </c>
    </row>
    <row r="32">
      <c r="B32" s="8" t="inlineStr">
        <is>
          <t>▸ Tableau_de_Bord</t>
        </is>
      </c>
      <c r="C32" s="9" t="inlineStr">
        <is>
          <t>KPIs, ratios, seuil de rentabilité, graphiques</t>
        </is>
      </c>
    </row>
    <row r="33">
      <c r="B33" s="8" t="inlineStr">
        <is>
          <t>▸ Feuille_de_Route</t>
        </is>
      </c>
      <c r="C33" s="9" t="inlineStr">
        <is>
          <t>Déploiement en 4 phases + prochaines actions</t>
        </is>
      </c>
    </row>
  </sheetData>
  <mergeCells count="44">
    <mergeCell ref="D20:E20"/>
    <mergeCell ref="B9:E9"/>
    <mergeCell ref="D19:E19"/>
    <mergeCell ref="B30"/>
    <mergeCell ref="C31:E31"/>
    <mergeCell ref="B6:E6"/>
    <mergeCell ref="B33"/>
    <mergeCell ref="B22:C22"/>
    <mergeCell ref="D22:E22"/>
    <mergeCell ref="B5:E5"/>
    <mergeCell ref="B18:C18"/>
    <mergeCell ref="D21:E21"/>
    <mergeCell ref="B26:E26"/>
    <mergeCell ref="B21:C21"/>
    <mergeCell ref="B32"/>
    <mergeCell ref="C27:E27"/>
    <mergeCell ref="B16:E16"/>
    <mergeCell ref="B23:C23"/>
    <mergeCell ref="B7:E7"/>
    <mergeCell ref="B3:E3"/>
    <mergeCell ref="B17:C17"/>
    <mergeCell ref="D17:E17"/>
    <mergeCell ref="B31"/>
    <mergeCell ref="C32:E32"/>
    <mergeCell ref="B27"/>
    <mergeCell ref="C28:E28"/>
    <mergeCell ref="B12:E12"/>
    <mergeCell ref="B19:C19"/>
    <mergeCell ref="B11:E11"/>
    <mergeCell ref="B2:E2"/>
    <mergeCell ref="D18:E18"/>
    <mergeCell ref="C30:E30"/>
    <mergeCell ref="B14:E14"/>
    <mergeCell ref="B24:C24"/>
    <mergeCell ref="C33:E33"/>
    <mergeCell ref="B8:E8"/>
    <mergeCell ref="D24:E24"/>
    <mergeCell ref="B13:E13"/>
    <mergeCell ref="B20:C20"/>
    <mergeCell ref="B29"/>
    <mergeCell ref="D23:E23"/>
    <mergeCell ref="B28"/>
    <mergeCell ref="C29:E29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40" customWidth="1" min="3" max="3"/>
    <col width="34" customWidth="1" min="4" max="4"/>
    <col width="10" customWidth="1" min="5" max="5"/>
    <col width="10" customWidth="1" min="6" max="6"/>
    <col width="10" customWidth="1" min="7" max="7"/>
    <col width="4" customWidth="1" min="8" max="8"/>
  </cols>
  <sheetData>
    <row r="1" ht="30" customHeight="1">
      <c r="A1" s="10" t="inlineStr">
        <is>
          <t>ARCHITECTURE DU RÉSEAU  —  15 BRANCHES DE SERVICES</t>
        </is>
      </c>
    </row>
    <row r="3" ht="30" customHeight="1">
      <c r="A3" s="11" t="inlineStr">
        <is>
          <t>#</t>
        </is>
      </c>
      <c r="B3" s="11" t="inlineStr">
        <is>
          <t>Branche</t>
        </is>
      </c>
      <c r="C3" s="11" t="inlineStr">
        <is>
          <t>Bénéfice pour le membre</t>
        </is>
      </c>
      <c r="D3" s="11" t="inlineStr">
        <is>
          <t>Partenaires cibles (SN / Afrique de l'Ouest)</t>
        </is>
      </c>
      <c r="E3" s="11" t="inlineStr">
        <is>
          <t>Essent.</t>
        </is>
      </c>
      <c r="F3" s="11" t="inlineStr">
        <is>
          <t>Busin.</t>
        </is>
      </c>
      <c r="G3" s="11" t="inlineStr">
        <is>
          <t>Élite</t>
        </is>
      </c>
    </row>
    <row r="4" ht="30" customHeight="1">
      <c r="A4" s="12" t="n">
        <v>1</v>
      </c>
      <c r="B4" s="13" t="inlineStr">
        <is>
          <t>Assurance &amp; Prévoyance</t>
        </is>
      </c>
      <c r="C4" s="14" t="inlineStr">
        <is>
          <t>Santé, auto, RC pro, prévoyance à tarif groupe négocié</t>
        </is>
      </c>
      <c r="D4" s="14" t="inlineStr">
        <is>
          <t>SUNU, SONAM, AXA SN, Allianz, Amsa, NSIA</t>
        </is>
      </c>
      <c r="E4" s="15" t="inlineStr">
        <is>
          <t>—</t>
        </is>
      </c>
      <c r="F4" s="16" t="inlineStr">
        <is>
          <t>✔</t>
        </is>
      </c>
      <c r="G4" s="16" t="inlineStr">
        <is>
          <t>✔</t>
        </is>
      </c>
    </row>
    <row r="5" ht="30" customHeight="1">
      <c r="A5" s="17" t="n">
        <v>2</v>
      </c>
      <c r="B5" s="18" t="inlineStr">
        <is>
          <t>BTP &amp; Construction</t>
        </is>
      </c>
      <c r="C5" s="19" t="inlineStr">
        <is>
          <t>Remises études, matériaux, main d'œuvre, expertise chantier</t>
        </is>
      </c>
      <c r="D5" s="19" t="inlineStr">
        <is>
          <t>Cimenteries (Dangote, Sococim), quincailleries, BET</t>
        </is>
      </c>
      <c r="E5" s="15" t="inlineStr">
        <is>
          <t>—</t>
        </is>
      </c>
      <c r="F5" s="15" t="inlineStr">
        <is>
          <t>—</t>
        </is>
      </c>
      <c r="G5" s="16" t="inlineStr">
        <is>
          <t>✔</t>
        </is>
      </c>
    </row>
    <row r="6" ht="30" customHeight="1">
      <c r="A6" s="12" t="n">
        <v>3</v>
      </c>
      <c r="B6" s="13" t="inlineStr">
        <is>
          <t>Business Lounge</t>
        </is>
      </c>
      <c r="C6" s="14" t="inlineStr">
        <is>
          <t>Salons aéroport AIBD, espaces coworking &amp; réunion premium</t>
        </is>
      </c>
      <c r="D6" s="14" t="inlineStr">
        <is>
          <t>AIBD Premium, lounges hôtels, coworking Dakar</t>
        </is>
      </c>
      <c r="E6" s="16" t="inlineStr">
        <is>
          <t>✔ (limité)</t>
        </is>
      </c>
      <c r="F6" s="16" t="inlineStr">
        <is>
          <t>✔</t>
        </is>
      </c>
      <c r="G6" s="16" t="inlineStr">
        <is>
          <t>✔</t>
        </is>
      </c>
    </row>
    <row r="7" ht="30" customHeight="1">
      <c r="A7" s="17" t="n">
        <v>4</v>
      </c>
      <c r="B7" s="18" t="inlineStr">
        <is>
          <t>Aviation</t>
        </is>
      </c>
      <c r="C7" s="19" t="inlineStr">
        <is>
          <t>Billets négociés, surclassements, jet &amp; aviation d'affaires</t>
        </is>
      </c>
      <c r="D7" s="19" t="inlineStr">
        <is>
          <t>Air Sénégal, agences IATA, brokers jet</t>
        </is>
      </c>
      <c r="E7" s="15" t="inlineStr">
        <is>
          <t>—</t>
        </is>
      </c>
      <c r="F7" s="16" t="inlineStr">
        <is>
          <t>✔</t>
        </is>
      </c>
      <c r="G7" s="16" t="inlineStr">
        <is>
          <t>✔</t>
        </is>
      </c>
    </row>
    <row r="8" ht="30" customHeight="1">
      <c r="A8" s="12" t="n">
        <v>5</v>
      </c>
      <c r="B8" s="13" t="inlineStr">
        <is>
          <t>Conseil &amp; Expertise comptable</t>
        </is>
      </c>
      <c r="C8" s="14" t="inlineStr">
        <is>
          <t>Comptabilité, fiscal, audit, création &amp; structuration</t>
        </is>
      </c>
      <c r="D8" s="14" t="inlineStr">
        <is>
          <t>Cabinets OECCA, fiduciaires, ONECCA</t>
        </is>
      </c>
      <c r="E8" s="16" t="inlineStr">
        <is>
          <t>✔</t>
        </is>
      </c>
      <c r="F8" s="16" t="inlineStr">
        <is>
          <t>✔</t>
        </is>
      </c>
      <c r="G8" s="16" t="inlineStr">
        <is>
          <t>✔</t>
        </is>
      </c>
    </row>
    <row r="9" ht="30" customHeight="1">
      <c r="A9" s="17" t="n">
        <v>6</v>
      </c>
      <c r="B9" s="18" t="inlineStr">
        <is>
          <t>Santé &amp; Bien-être</t>
        </is>
      </c>
      <c r="C9" s="19" t="inlineStr">
        <is>
          <t>Télémédecine, check-ups, cliniques partenaires</t>
        </is>
      </c>
      <c r="D9" s="19" t="inlineStr">
        <is>
          <t>Cliniques Dakar, plateformes e-santé</t>
        </is>
      </c>
      <c r="E9" s="16" t="inlineStr">
        <is>
          <t>✔</t>
        </is>
      </c>
      <c r="F9" s="16" t="inlineStr">
        <is>
          <t>✔</t>
        </is>
      </c>
      <c r="G9" s="16" t="inlineStr">
        <is>
          <t>✔</t>
        </is>
      </c>
    </row>
    <row r="10" ht="30" customHeight="1">
      <c r="A10" s="12" t="n">
        <v>7</v>
      </c>
      <c r="B10" s="13" t="inlineStr">
        <is>
          <t>CN Academy — Formation</t>
        </is>
      </c>
      <c r="C10" s="14" t="inlineStr">
        <is>
          <t>Formations, certifications, mentorat dirigeants</t>
        </is>
      </c>
      <c r="D10" s="14" t="inlineStr">
        <is>
          <t>Écoles de commerce, ISM, CESAG, coachs</t>
        </is>
      </c>
      <c r="E10" s="16" t="inlineStr">
        <is>
          <t>✔</t>
        </is>
      </c>
      <c r="F10" s="16" t="inlineStr">
        <is>
          <t>✔</t>
        </is>
      </c>
      <c r="G10" s="16" t="inlineStr">
        <is>
          <t>✔</t>
        </is>
      </c>
    </row>
    <row r="11" ht="30" customHeight="1">
      <c r="A11" s="17" t="n">
        <v>8</v>
      </c>
      <c r="B11" s="18" t="inlineStr">
        <is>
          <t>Financement &amp; Crédit</t>
        </is>
      </c>
      <c r="C11" s="19" t="inlineStr">
        <is>
          <t>Mise en relation banques/fonds, montage dossier, garanties</t>
        </is>
      </c>
      <c r="D11" s="19" t="inlineStr">
        <is>
          <t>Banques, FONGIP, DER/FJ, fonds PME</t>
        </is>
      </c>
      <c r="E11" s="15" t="inlineStr">
        <is>
          <t>—</t>
        </is>
      </c>
      <c r="F11" s="16" t="inlineStr">
        <is>
          <t>✔</t>
        </is>
      </c>
      <c r="G11" s="16" t="inlineStr">
        <is>
          <t>✔</t>
        </is>
      </c>
    </row>
    <row r="12" ht="30" customHeight="1">
      <c r="A12" s="12" t="n">
        <v>9</v>
      </c>
      <c r="B12" s="13" t="inlineStr">
        <is>
          <t>Voyage &amp; Hôtellerie</t>
        </is>
      </c>
      <c r="C12" s="14" t="inlineStr">
        <is>
          <t>Tarifs corporate hôtels, per diem &amp; séjours négociés</t>
        </is>
      </c>
      <c r="D12" s="14" t="inlineStr">
        <is>
          <t>Chaînes hôtelières, agences de voyage</t>
        </is>
      </c>
      <c r="E12" s="15" t="inlineStr">
        <is>
          <t>—</t>
        </is>
      </c>
      <c r="F12" s="16" t="inlineStr">
        <is>
          <t>✔</t>
        </is>
      </c>
      <c r="G12" s="16" t="inlineStr">
        <is>
          <t>✔</t>
        </is>
      </c>
    </row>
    <row r="13" ht="30" customHeight="1">
      <c r="A13" s="17" t="n">
        <v>10</v>
      </c>
      <c r="B13" s="18" t="inlineStr">
        <is>
          <t>Mobilité Premium</t>
        </is>
      </c>
      <c r="C13" s="19" t="inlineStr">
        <is>
          <t>VTC dirigeant, location véhicules avec chauffeur</t>
        </is>
      </c>
      <c r="D13" s="19" t="inlineStr">
        <is>
          <t>Loueurs, flottes VTC premium</t>
        </is>
      </c>
      <c r="E13" s="16" t="inlineStr">
        <is>
          <t>✔</t>
        </is>
      </c>
      <c r="F13" s="16" t="inlineStr">
        <is>
          <t>✔</t>
        </is>
      </c>
      <c r="G13" s="16" t="inlineStr">
        <is>
          <t>✔</t>
        </is>
      </c>
    </row>
    <row r="14" ht="30" customHeight="1">
      <c r="A14" s="12" t="n">
        <v>11</v>
      </c>
      <c r="B14" s="13" t="inlineStr">
        <is>
          <t>Juridique &amp; Contentieux</t>
        </is>
      </c>
      <c r="C14" s="14" t="inlineStr">
        <is>
          <t>Avocats, contrats, recouvrement, propriété intellectuelle</t>
        </is>
      </c>
      <c r="D14" s="14" t="inlineStr">
        <is>
          <t>Cabinets d'avocats, huissiers</t>
        </is>
      </c>
      <c r="E14" s="15" t="inlineStr">
        <is>
          <t>—</t>
        </is>
      </c>
      <c r="F14" s="15" t="inlineStr">
        <is>
          <t>—</t>
        </is>
      </c>
      <c r="G14" s="16" t="inlineStr">
        <is>
          <t>✔</t>
        </is>
      </c>
    </row>
    <row r="15" ht="30" customHeight="1">
      <c r="A15" s="17" t="n">
        <v>12</v>
      </c>
      <c r="B15" s="18" t="inlineStr">
        <is>
          <t>Digital &amp; Marketing</t>
        </is>
      </c>
      <c r="C15" s="19" t="inlineStr">
        <is>
          <t>Sites, branding, community management, publicité</t>
        </is>
      </c>
      <c r="D15" s="19" t="inlineStr">
        <is>
          <t>Agences digitales (ex. écosystème C Carré)</t>
        </is>
      </c>
      <c r="E15" s="16" t="inlineStr">
        <is>
          <t>✔ (limité)</t>
        </is>
      </c>
      <c r="F15" s="16" t="inlineStr">
        <is>
          <t>✔</t>
        </is>
      </c>
      <c r="G15" s="16" t="inlineStr">
        <is>
          <t>✔</t>
        </is>
      </c>
    </row>
    <row r="16" ht="30" customHeight="1">
      <c r="A16" s="12" t="n">
        <v>13</v>
      </c>
      <c r="B16" s="13" t="inlineStr">
        <is>
          <t>Import-Export &amp; Logistique</t>
        </is>
      </c>
      <c r="C16" s="14" t="inlineStr">
        <is>
          <t>Dédouanement, fret, entreposage, sourcing</t>
        </is>
      </c>
      <c r="D16" s="14" t="inlineStr">
        <is>
          <t>Transitaires, DP World, logisticiens</t>
        </is>
      </c>
      <c r="E16" s="15" t="inlineStr">
        <is>
          <t>—</t>
        </is>
      </c>
      <c r="F16" s="16" t="inlineStr">
        <is>
          <t>✔</t>
        </is>
      </c>
      <c r="G16" s="16" t="inlineStr">
        <is>
          <t>✔</t>
        </is>
      </c>
    </row>
    <row r="17" ht="30" customHeight="1">
      <c r="A17" s="17" t="n">
        <v>14</v>
      </c>
      <c r="B17" s="18" t="inlineStr">
        <is>
          <t>Networking &amp; Événementiel</t>
        </is>
      </c>
      <c r="C17" s="19" t="inlineStr">
        <is>
          <t>Galas, rencontres B2B, accès dirigeants &amp; institutions</t>
        </is>
      </c>
      <c r="D17" s="19" t="inlineStr">
        <is>
          <t>CNP, écosystème CN, chambres consulaires</t>
        </is>
      </c>
      <c r="E17" s="16" t="inlineStr">
        <is>
          <t>✔</t>
        </is>
      </c>
      <c r="F17" s="16" t="inlineStr">
        <is>
          <t>✔</t>
        </is>
      </c>
      <c r="G17" s="16" t="inlineStr">
        <is>
          <t>✔</t>
        </is>
      </c>
    </row>
    <row r="18" ht="30" customHeight="1">
      <c r="A18" s="12" t="n">
        <v>15</v>
      </c>
      <c r="B18" s="13" t="inlineStr">
        <is>
          <t>Télécom &amp; Connectivité</t>
        </is>
      </c>
      <c r="C18" s="14" t="inlineStr">
        <is>
          <t>Forfaits pro, internet entreprise, Starlink</t>
        </is>
      </c>
      <c r="D18" s="14" t="inlineStr">
        <is>
          <t>Waw Telecom / Starlink, opérateurs</t>
        </is>
      </c>
      <c r="E18" s="16" t="inlineStr">
        <is>
          <t>✔</t>
        </is>
      </c>
      <c r="F18" s="16" t="inlineStr">
        <is>
          <t>✔</t>
        </is>
      </c>
      <c r="G18" s="16" t="inlineStr">
        <is>
          <t>✔</t>
        </is>
      </c>
    </row>
    <row r="20">
      <c r="A20" s="20" t="inlineStr">
        <is>
          <t>LES 3 FORMULES DE CARTE</t>
        </is>
      </c>
    </row>
    <row r="21" ht="30" customHeight="1">
      <c r="A21" s="11" t="inlineStr"/>
      <c r="B21" s="11" t="inlineStr">
        <is>
          <t>CN ESSENTIEL</t>
        </is>
      </c>
      <c r="C21" s="11" t="inlineStr">
        <is>
          <t>CN BUSINESS</t>
        </is>
      </c>
      <c r="D21" s="11" t="inlineStr">
        <is>
          <t>CN ÉLITE</t>
        </is>
      </c>
      <c r="E21" s="11" t="inlineStr"/>
      <c r="F21" s="11" t="inlineStr"/>
      <c r="G21" s="11" t="inlineStr"/>
    </row>
    <row r="22" ht="18" customHeight="1">
      <c r="A22" s="21" t="inlineStr">
        <is>
          <t>Cible</t>
        </is>
      </c>
      <c r="B22" s="22" t="inlineStr">
        <is>
          <t>Jeune entrepreneur / TPE</t>
        </is>
      </c>
      <c r="C22" s="22" t="inlineStr">
        <is>
          <t>PME établie / dirigeant</t>
        </is>
      </c>
      <c r="D22" s="22" t="inlineStr">
        <is>
          <t>Grand compte / dirigeant premium</t>
        </is>
      </c>
    </row>
    <row r="23" ht="18" customHeight="1">
      <c r="A23" s="21" t="inlineStr">
        <is>
          <t>Cotisation / an</t>
        </is>
      </c>
      <c r="B23" s="23">
        <f>Hypotheses!B4</f>
        <v/>
      </c>
      <c r="C23" s="23">
        <f>Hypotheses!B5</f>
        <v/>
      </c>
      <c r="D23" s="23">
        <f>Hypotheses!B6</f>
        <v/>
      </c>
    </row>
    <row r="24" ht="18" customHeight="1">
      <c r="A24" s="21" t="inlineStr">
        <is>
          <t>Cotisation / mois</t>
        </is>
      </c>
      <c r="B24" s="23">
        <f>Hypotheses!B4/12</f>
        <v/>
      </c>
      <c r="C24" s="23">
        <f>Hypotheses!B5/12</f>
        <v/>
      </c>
      <c r="D24" s="23">
        <f>Hypotheses!B6/12</f>
        <v/>
      </c>
    </row>
    <row r="25" ht="18" customHeight="1">
      <c r="A25" s="21" t="inlineStr">
        <is>
          <t>Branches accessibles</t>
        </is>
      </c>
      <c r="B25" s="22" t="inlineStr">
        <is>
          <t>8 branches</t>
        </is>
      </c>
      <c r="C25" s="22" t="inlineStr">
        <is>
          <t>13 branches</t>
        </is>
      </c>
      <c r="D25" s="22" t="inlineStr">
        <is>
          <t>15 branches (toutes)</t>
        </is>
      </c>
    </row>
    <row r="26" ht="18" customHeight="1">
      <c r="A26" s="21" t="inlineStr">
        <is>
          <t>Valeur faciale réseau/an</t>
        </is>
      </c>
      <c r="B26" s="23">
        <f>'Modele_Actuariel'!K19</f>
        <v/>
      </c>
      <c r="C26" s="23">
        <f>'Modele_Actuariel'!L19</f>
        <v/>
      </c>
      <c r="D26" s="23">
        <f>'Modele_Actuariel'!M19</f>
        <v/>
      </c>
    </row>
  </sheetData>
  <mergeCells count="2">
    <mergeCell ref="A20:G2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4" customWidth="1" min="3" max="3"/>
    <col width="50" customWidth="1" min="4" max="4"/>
  </cols>
  <sheetData>
    <row r="1" ht="30" customHeight="1">
      <c r="A1" s="10" t="inlineStr">
        <is>
          <t>HYPOTHÈSES  —  paramètres modifiables (cellules en or)</t>
        </is>
      </c>
    </row>
    <row r="3" ht="22" customHeight="1">
      <c r="A3" s="24" t="inlineStr">
        <is>
          <t>TARIFICATION (cotisation annuelle, FCFA)</t>
        </is>
      </c>
    </row>
    <row r="4">
      <c r="A4" s="25" t="inlineStr">
        <is>
          <t>CN Essentiel</t>
        </is>
      </c>
      <c r="B4" s="26" t="n">
        <v>60000</v>
      </c>
      <c r="D4" s="27" t="inlineStr">
        <is>
          <t>≈ 5 000 FCFA / mois — très accessible</t>
        </is>
      </c>
    </row>
    <row r="5">
      <c r="A5" s="25" t="inlineStr">
        <is>
          <t>CN Business</t>
        </is>
      </c>
      <c r="B5" s="26" t="n">
        <v>180000</v>
      </c>
      <c r="D5" s="27" t="inlineStr">
        <is>
          <t>≈ 15 000 FCFA / mois</t>
        </is>
      </c>
    </row>
    <row r="6">
      <c r="A6" s="25" t="inlineStr">
        <is>
          <t>CN Élite</t>
        </is>
      </c>
      <c r="B6" s="26" t="n">
        <v>480000</v>
      </c>
      <c r="D6" s="27" t="inlineStr">
        <is>
          <t>≈ 40 000 FCFA / mois</t>
        </is>
      </c>
    </row>
    <row r="7" ht="22" customHeight="1">
      <c r="A7" s="24" t="inlineStr">
        <is>
          <t>MIX DES ADHÉRENTS (répartition par formule)</t>
        </is>
      </c>
    </row>
    <row r="8">
      <c r="A8" s="25" t="inlineStr">
        <is>
          <t>Part Essentiel</t>
        </is>
      </c>
      <c r="B8" s="28" t="n">
        <v>0.62</v>
      </c>
      <c r="D8" s="27" t="inlineStr">
        <is>
          <t>somme des 3 = 100 %</t>
        </is>
      </c>
    </row>
    <row r="9">
      <c r="A9" s="25" t="inlineStr">
        <is>
          <t>Part Business</t>
        </is>
      </c>
      <c r="B9" s="28" t="n">
        <v>0.3</v>
      </c>
    </row>
    <row r="10">
      <c r="A10" s="25" t="inlineStr">
        <is>
          <t>Part Élite</t>
        </is>
      </c>
      <c r="B10" s="28" t="n">
        <v>0.08</v>
      </c>
    </row>
    <row r="11" ht="22" customHeight="1">
      <c r="A11" s="24" t="inlineStr">
        <is>
          <t>PARAMÈTRES OPÉRATIONNELS</t>
        </is>
      </c>
    </row>
    <row r="12">
      <c r="A12" s="25" t="inlineStr">
        <is>
          <t>Frais d'adhésion (carte, unique)</t>
        </is>
      </c>
      <c r="B12" s="26" t="n">
        <v>10000</v>
      </c>
      <c r="D12" s="27" t="inlineStr">
        <is>
          <t>encaissé à l'inscription</t>
        </is>
      </c>
    </row>
    <row r="13">
      <c r="A13" s="25" t="inlineStr">
        <is>
          <t>Churn mensuel (attrition)</t>
        </is>
      </c>
      <c r="B13" s="29" t="n">
        <v>0.02</v>
      </c>
      <c r="D13" s="27" t="inlineStr">
        <is>
          <t>2 % des membres partent / mois</t>
        </is>
      </c>
    </row>
    <row r="14">
      <c r="A14" s="25" t="inlineStr">
        <is>
          <t>Commission partenaires (sur conso.)</t>
        </is>
      </c>
      <c r="B14" s="28" t="n">
        <v>0.08</v>
      </c>
      <c r="D14" s="27" t="inlineStr">
        <is>
          <t>CN touche 8 % du CA routé vers partenaires</t>
        </is>
      </c>
    </row>
    <row r="15">
      <c r="A15" s="25" t="inlineStr">
        <is>
          <t>Coût production carte (unité)</t>
        </is>
      </c>
      <c r="B15" s="26" t="n">
        <v>3500</v>
      </c>
      <c r="D15" s="27" t="inlineStr">
        <is>
          <t>carte physique + kit de bienvenue</t>
        </is>
      </c>
    </row>
    <row r="16" ht="22" customHeight="1">
      <c r="A16" s="24" t="inlineStr">
        <is>
          <t>OPEX MENSUEL FIXE (FCFA)</t>
        </is>
      </c>
    </row>
    <row r="17">
      <c r="A17" s="25" t="inlineStr">
        <is>
          <t>Plateforme &amp; technologie</t>
        </is>
      </c>
      <c r="B17" s="26" t="n">
        <v>400000</v>
      </c>
      <c r="D17" s="27" t="inlineStr">
        <is>
          <t>app membre, CRM, gestion des droits</t>
        </is>
      </c>
    </row>
    <row r="18">
      <c r="A18" s="25" t="inlineStr">
        <is>
          <t>Équipe &amp; opérations</t>
        </is>
      </c>
      <c r="B18" s="26" t="n">
        <v>2500000</v>
      </c>
      <c r="D18" s="27" t="inlineStr">
        <is>
          <t>négociation partenaires, service membre</t>
        </is>
      </c>
    </row>
    <row r="19">
      <c r="A19" s="25" t="inlineStr">
        <is>
          <t>Marketing &amp; acquisition</t>
        </is>
      </c>
      <c r="B19" s="26" t="n">
        <v>800000</v>
      </c>
      <c r="D19" s="27" t="inlineStr">
        <is>
          <t>campagnes, événements, contenus</t>
        </is>
      </c>
    </row>
    <row r="20">
      <c r="A20" s="25" t="inlineStr">
        <is>
          <t>Frais généraux &amp; juridique</t>
        </is>
      </c>
      <c r="B20" s="26" t="n">
        <v>500000</v>
      </c>
      <c r="D20" s="27" t="inlineStr">
        <is>
          <t>bureau, conformité, comptabilité</t>
        </is>
      </c>
    </row>
    <row r="21">
      <c r="A21" s="30" t="inlineStr">
        <is>
          <t>TOTAL OPEX FIXE / mois</t>
        </is>
      </c>
      <c r="B21" s="31">
        <f>SUM(B17:B20)</f>
        <v/>
      </c>
    </row>
  </sheetData>
  <mergeCells count="5">
    <mergeCell ref="A1:D1"/>
    <mergeCell ref="A16:B16"/>
    <mergeCell ref="A7:B7"/>
    <mergeCell ref="A11:B11"/>
    <mergeCell ref="A3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14" customWidth="1" min="4" max="4"/>
    <col width="9" customWidth="1" min="5" max="5"/>
    <col width="9" customWidth="1" min="6" max="6"/>
    <col width="9" customWidth="1" min="7" max="7"/>
    <col width="13" customWidth="1" min="8" max="8"/>
    <col width="13" customWidth="1" min="9" max="9"/>
    <col width="13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32" t="inlineStr">
        <is>
          <t>MODÈLE ACTUARIEL  —  coût mutualisé = Σ (probabilité × fréquence × coût unitaire)</t>
        </is>
      </c>
    </row>
    <row r="2">
      <c r="A2" s="27" t="inlineStr">
        <is>
          <t>Probabilité = % de membres consommant le service dans l'année. 0 % = service non inclus dans la formule.</t>
        </is>
      </c>
    </row>
    <row r="3" ht="30" customHeight="1">
      <c r="A3" s="11" t="inlineStr">
        <is>
          <t>Service</t>
        </is>
      </c>
      <c r="B3" s="11" t="inlineStr">
        <is>
          <t>Valeur faciale /usage</t>
        </is>
      </c>
      <c r="C3" s="11" t="inlineStr">
        <is>
          <t>Fréq. /an</t>
        </is>
      </c>
      <c r="D3" s="11" t="inlineStr">
        <is>
          <t>Coût unit. CN</t>
        </is>
      </c>
      <c r="E3" s="11" t="inlineStr">
        <is>
          <t>Prob. Ess.</t>
        </is>
      </c>
      <c r="F3" s="11" t="inlineStr">
        <is>
          <t>Prob. Bus.</t>
        </is>
      </c>
      <c r="G3" s="11" t="inlineStr">
        <is>
          <t>Prob. Élite</t>
        </is>
      </c>
      <c r="H3" s="11" t="inlineStr">
        <is>
          <t>Coût att. Ess.</t>
        </is>
      </c>
      <c r="I3" s="11" t="inlineStr">
        <is>
          <t>Coût att. Bus.</t>
        </is>
      </c>
      <c r="J3" s="11" t="inlineStr">
        <is>
          <t>Coût att. Élite</t>
        </is>
      </c>
      <c r="K3" s="11" t="inlineStr">
        <is>
          <t>Val. perçue Ess.</t>
        </is>
      </c>
      <c r="L3" s="11" t="inlineStr">
        <is>
          <t>Val. perçue Bus.</t>
        </is>
      </c>
      <c r="M3" s="11" t="inlineStr">
        <is>
          <t>Val. perçue Élite</t>
        </is>
      </c>
    </row>
    <row r="4">
      <c r="A4" s="33" t="inlineStr">
        <is>
          <t>Assurance &amp; Prévoyance</t>
        </is>
      </c>
      <c r="B4" s="34" t="n">
        <v>150000</v>
      </c>
      <c r="C4" s="35" t="n">
        <v>1</v>
      </c>
      <c r="D4" s="34" t="n">
        <v>45000</v>
      </c>
      <c r="E4" s="36" t="n">
        <v>0</v>
      </c>
      <c r="F4" s="36" t="n">
        <v>0.2</v>
      </c>
      <c r="G4" s="36" t="n">
        <v>0.4</v>
      </c>
      <c r="H4" s="37">
        <f>E4*C4*D4</f>
        <v/>
      </c>
      <c r="I4" s="37">
        <f>F4*C4*D4</f>
        <v/>
      </c>
      <c r="J4" s="37">
        <f>G4*C4*D4</f>
        <v/>
      </c>
      <c r="K4" s="37">
        <f>E4*C4*B4</f>
        <v/>
      </c>
      <c r="L4" s="37">
        <f>F4*C4*B4</f>
        <v/>
      </c>
      <c r="M4" s="37">
        <f>G4*C4*B4</f>
        <v/>
      </c>
    </row>
    <row r="5">
      <c r="A5" s="38" t="inlineStr">
        <is>
          <t>BTP &amp; Construction</t>
        </is>
      </c>
      <c r="B5" s="39" t="n">
        <v>300000</v>
      </c>
      <c r="C5" s="40" t="n">
        <v>0.5</v>
      </c>
      <c r="D5" s="39" t="n">
        <v>60000</v>
      </c>
      <c r="E5" s="36" t="n">
        <v>0</v>
      </c>
      <c r="F5" s="36" t="n">
        <v>0</v>
      </c>
      <c r="G5" s="36" t="n">
        <v>0.22</v>
      </c>
      <c r="H5" s="37">
        <f>E5*C5*D5</f>
        <v/>
      </c>
      <c r="I5" s="37">
        <f>F5*C5*D5</f>
        <v/>
      </c>
      <c r="J5" s="37">
        <f>G5*C5*D5</f>
        <v/>
      </c>
      <c r="K5" s="37">
        <f>E5*C5*B5</f>
        <v/>
      </c>
      <c r="L5" s="37">
        <f>F5*C5*B5</f>
        <v/>
      </c>
      <c r="M5" s="37">
        <f>G5*C5*B5</f>
        <v/>
      </c>
    </row>
    <row r="6">
      <c r="A6" s="33" t="inlineStr">
        <is>
          <t>Business Lounge</t>
        </is>
      </c>
      <c r="B6" s="34" t="n">
        <v>25000</v>
      </c>
      <c r="C6" s="35" t="n">
        <v>4</v>
      </c>
      <c r="D6" s="34" t="n">
        <v>8000</v>
      </c>
      <c r="E6" s="36" t="n">
        <v>0.04</v>
      </c>
      <c r="F6" s="36" t="n">
        <v>0.18</v>
      </c>
      <c r="G6" s="36" t="n">
        <v>0.55</v>
      </c>
      <c r="H6" s="37">
        <f>E6*C6*D6</f>
        <v/>
      </c>
      <c r="I6" s="37">
        <f>F6*C6*D6</f>
        <v/>
      </c>
      <c r="J6" s="37">
        <f>G6*C6*D6</f>
        <v/>
      </c>
      <c r="K6" s="37">
        <f>E6*C6*B6</f>
        <v/>
      </c>
      <c r="L6" s="37">
        <f>F6*C6*B6</f>
        <v/>
      </c>
      <c r="M6" s="37">
        <f>G6*C6*B6</f>
        <v/>
      </c>
    </row>
    <row r="7">
      <c r="A7" s="38" t="inlineStr">
        <is>
          <t>Aviation</t>
        </is>
      </c>
      <c r="B7" s="39" t="n">
        <v>80000</v>
      </c>
      <c r="C7" s="40" t="n">
        <v>2</v>
      </c>
      <c r="D7" s="39" t="n">
        <v>20000</v>
      </c>
      <c r="E7" s="36" t="n">
        <v>0</v>
      </c>
      <c r="F7" s="36" t="n">
        <v>0.12</v>
      </c>
      <c r="G7" s="36" t="n">
        <v>0.45</v>
      </c>
      <c r="H7" s="37">
        <f>E7*C7*D7</f>
        <v/>
      </c>
      <c r="I7" s="37">
        <f>F7*C7*D7</f>
        <v/>
      </c>
      <c r="J7" s="37">
        <f>G7*C7*D7</f>
        <v/>
      </c>
      <c r="K7" s="37">
        <f>E7*C7*B7</f>
        <v/>
      </c>
      <c r="L7" s="37">
        <f>F7*C7*B7</f>
        <v/>
      </c>
      <c r="M7" s="37">
        <f>G7*C7*B7</f>
        <v/>
      </c>
    </row>
    <row r="8">
      <c r="A8" s="33" t="inlineStr">
        <is>
          <t>Conseil &amp; Expertise compt.</t>
        </is>
      </c>
      <c r="B8" s="34" t="n">
        <v>200000</v>
      </c>
      <c r="C8" s="35" t="n">
        <v>1</v>
      </c>
      <c r="D8" s="34" t="n">
        <v>55000</v>
      </c>
      <c r="E8" s="36" t="n">
        <v>0.12</v>
      </c>
      <c r="F8" s="36" t="n">
        <v>0.28</v>
      </c>
      <c r="G8" s="36" t="n">
        <v>0.55</v>
      </c>
      <c r="H8" s="37">
        <f>E8*C8*D8</f>
        <v/>
      </c>
      <c r="I8" s="37">
        <f>F8*C8*D8</f>
        <v/>
      </c>
      <c r="J8" s="37">
        <f>G8*C8*D8</f>
        <v/>
      </c>
      <c r="K8" s="37">
        <f>E8*C8*B8</f>
        <v/>
      </c>
      <c r="L8" s="37">
        <f>F8*C8*B8</f>
        <v/>
      </c>
      <c r="M8" s="37">
        <f>G8*C8*B8</f>
        <v/>
      </c>
    </row>
    <row r="9">
      <c r="A9" s="38" t="inlineStr">
        <is>
          <t>Santé &amp; Bien-être</t>
        </is>
      </c>
      <c r="B9" s="39" t="n">
        <v>40000</v>
      </c>
      <c r="C9" s="40" t="n">
        <v>2</v>
      </c>
      <c r="D9" s="39" t="n">
        <v>12000</v>
      </c>
      <c r="E9" s="36" t="n">
        <v>0.12</v>
      </c>
      <c r="F9" s="36" t="n">
        <v>0.22</v>
      </c>
      <c r="G9" s="36" t="n">
        <v>0.45</v>
      </c>
      <c r="H9" s="37">
        <f>E9*C9*D9</f>
        <v/>
      </c>
      <c r="I9" s="37">
        <f>F9*C9*D9</f>
        <v/>
      </c>
      <c r="J9" s="37">
        <f>G9*C9*D9</f>
        <v/>
      </c>
      <c r="K9" s="37">
        <f>E9*C9*B9</f>
        <v/>
      </c>
      <c r="L9" s="37">
        <f>F9*C9*B9</f>
        <v/>
      </c>
      <c r="M9" s="37">
        <f>G9*C9*B9</f>
        <v/>
      </c>
    </row>
    <row r="10">
      <c r="A10" s="33" t="inlineStr">
        <is>
          <t>CN Academy — Formation</t>
        </is>
      </c>
      <c r="B10" s="34" t="n">
        <v>100000</v>
      </c>
      <c r="C10" s="35" t="n">
        <v>1</v>
      </c>
      <c r="D10" s="34" t="n">
        <v>25000</v>
      </c>
      <c r="E10" s="36" t="n">
        <v>0.18</v>
      </c>
      <c r="F10" s="36" t="n">
        <v>0.3</v>
      </c>
      <c r="G10" s="36" t="n">
        <v>0.5</v>
      </c>
      <c r="H10" s="37">
        <f>E10*C10*D10</f>
        <v/>
      </c>
      <c r="I10" s="37">
        <f>F10*C10*D10</f>
        <v/>
      </c>
      <c r="J10" s="37">
        <f>G10*C10*D10</f>
        <v/>
      </c>
      <c r="K10" s="37">
        <f>E10*C10*B10</f>
        <v/>
      </c>
      <c r="L10" s="37">
        <f>F10*C10*B10</f>
        <v/>
      </c>
      <c r="M10" s="37">
        <f>G10*C10*B10</f>
        <v/>
      </c>
    </row>
    <row r="11">
      <c r="A11" s="38" t="inlineStr">
        <is>
          <t>Financement &amp; Crédit</t>
        </is>
      </c>
      <c r="B11" s="39" t="n">
        <v>250000</v>
      </c>
      <c r="C11" s="40" t="n">
        <v>0.5</v>
      </c>
      <c r="D11" s="39" t="n">
        <v>50000</v>
      </c>
      <c r="E11" s="36" t="n">
        <v>0</v>
      </c>
      <c r="F11" s="36" t="n">
        <v>0.25</v>
      </c>
      <c r="G11" s="36" t="n">
        <v>0.35</v>
      </c>
      <c r="H11" s="37">
        <f>E11*C11*D11</f>
        <v/>
      </c>
      <c r="I11" s="37">
        <f>F11*C11*D11</f>
        <v/>
      </c>
      <c r="J11" s="37">
        <f>G11*C11*D11</f>
        <v/>
      </c>
      <c r="K11" s="37">
        <f>E11*C11*B11</f>
        <v/>
      </c>
      <c r="L11" s="37">
        <f>F11*C11*B11</f>
        <v/>
      </c>
      <c r="M11" s="37">
        <f>G11*C11*B11</f>
        <v/>
      </c>
    </row>
    <row r="12">
      <c r="A12" s="33" t="inlineStr">
        <is>
          <t>Voyage &amp; Hôtellerie</t>
        </is>
      </c>
      <c r="B12" s="34" t="n">
        <v>60000</v>
      </c>
      <c r="C12" s="35" t="n">
        <v>2</v>
      </c>
      <c r="D12" s="34" t="n">
        <v>18000</v>
      </c>
      <c r="E12" s="36" t="n">
        <v>0</v>
      </c>
      <c r="F12" s="36" t="n">
        <v>0.18</v>
      </c>
      <c r="G12" s="36" t="n">
        <v>0.4</v>
      </c>
      <c r="H12" s="37">
        <f>E12*C12*D12</f>
        <v/>
      </c>
      <c r="I12" s="37">
        <f>F12*C12*D12</f>
        <v/>
      </c>
      <c r="J12" s="37">
        <f>G12*C12*D12</f>
        <v/>
      </c>
      <c r="K12" s="37">
        <f>E12*C12*B12</f>
        <v/>
      </c>
      <c r="L12" s="37">
        <f>F12*C12*B12</f>
        <v/>
      </c>
      <c r="M12" s="37">
        <f>G12*C12*B12</f>
        <v/>
      </c>
    </row>
    <row r="13">
      <c r="A13" s="38" t="inlineStr">
        <is>
          <t>Mobilité Premium</t>
        </is>
      </c>
      <c r="B13" s="39" t="n">
        <v>30000</v>
      </c>
      <c r="C13" s="40" t="n">
        <v>3</v>
      </c>
      <c r="D13" s="39" t="n">
        <v>10000</v>
      </c>
      <c r="E13" s="36" t="n">
        <v>0.06</v>
      </c>
      <c r="F13" s="36" t="n">
        <v>0.15</v>
      </c>
      <c r="G13" s="36" t="n">
        <v>0.35</v>
      </c>
      <c r="H13" s="37">
        <f>E13*C13*D13</f>
        <v/>
      </c>
      <c r="I13" s="37">
        <f>F13*C13*D13</f>
        <v/>
      </c>
      <c r="J13" s="37">
        <f>G13*C13*D13</f>
        <v/>
      </c>
      <c r="K13" s="37">
        <f>E13*C13*B13</f>
        <v/>
      </c>
      <c r="L13" s="37">
        <f>F13*C13*B13</f>
        <v/>
      </c>
      <c r="M13" s="37">
        <f>G13*C13*B13</f>
        <v/>
      </c>
    </row>
    <row r="14">
      <c r="A14" s="33" t="inlineStr">
        <is>
          <t>Juridique &amp; Contentieux</t>
        </is>
      </c>
      <c r="B14" s="34" t="n">
        <v>180000</v>
      </c>
      <c r="C14" s="35" t="n">
        <v>0.4</v>
      </c>
      <c r="D14" s="34" t="n">
        <v>45000</v>
      </c>
      <c r="E14" s="36" t="n">
        <v>0</v>
      </c>
      <c r="F14" s="36" t="n">
        <v>0</v>
      </c>
      <c r="G14" s="36" t="n">
        <v>0.28</v>
      </c>
      <c r="H14" s="37">
        <f>E14*C14*D14</f>
        <v/>
      </c>
      <c r="I14" s="37">
        <f>F14*C14*D14</f>
        <v/>
      </c>
      <c r="J14" s="37">
        <f>G14*C14*D14</f>
        <v/>
      </c>
      <c r="K14" s="37">
        <f>E14*C14*B14</f>
        <v/>
      </c>
      <c r="L14" s="37">
        <f>F14*C14*B14</f>
        <v/>
      </c>
      <c r="M14" s="37">
        <f>G14*C14*B14</f>
        <v/>
      </c>
    </row>
    <row r="15">
      <c r="A15" s="38" t="inlineStr">
        <is>
          <t>Digital &amp; Marketing</t>
        </is>
      </c>
      <c r="B15" s="39" t="n">
        <v>150000</v>
      </c>
      <c r="C15" s="40" t="n">
        <v>0.6</v>
      </c>
      <c r="D15" s="39" t="n">
        <v>40000</v>
      </c>
      <c r="E15" s="36" t="n">
        <v>0.1</v>
      </c>
      <c r="F15" s="36" t="n">
        <v>0.18</v>
      </c>
      <c r="G15" s="36" t="n">
        <v>0.32</v>
      </c>
      <c r="H15" s="37">
        <f>E15*C15*D15</f>
        <v/>
      </c>
      <c r="I15" s="37">
        <f>F15*C15*D15</f>
        <v/>
      </c>
      <c r="J15" s="37">
        <f>G15*C15*D15</f>
        <v/>
      </c>
      <c r="K15" s="37">
        <f>E15*C15*B15</f>
        <v/>
      </c>
      <c r="L15" s="37">
        <f>F15*C15*B15</f>
        <v/>
      </c>
      <c r="M15" s="37">
        <f>G15*C15*B15</f>
        <v/>
      </c>
    </row>
    <row r="16">
      <c r="A16" s="33" t="inlineStr">
        <is>
          <t>Import-Export &amp; Logistique</t>
        </is>
      </c>
      <c r="B16" s="34" t="n">
        <v>120000</v>
      </c>
      <c r="C16" s="35" t="n">
        <v>0.6</v>
      </c>
      <c r="D16" s="34" t="n">
        <v>35000</v>
      </c>
      <c r="E16" s="36" t="n">
        <v>0</v>
      </c>
      <c r="F16" s="36" t="n">
        <v>0.15</v>
      </c>
      <c r="G16" s="36" t="n">
        <v>0.3</v>
      </c>
      <c r="H16" s="37">
        <f>E16*C16*D16</f>
        <v/>
      </c>
      <c r="I16" s="37">
        <f>F16*C16*D16</f>
        <v/>
      </c>
      <c r="J16" s="37">
        <f>G16*C16*D16</f>
        <v/>
      </c>
      <c r="K16" s="37">
        <f>E16*C16*B16</f>
        <v/>
      </c>
      <c r="L16" s="37">
        <f>F16*C16*B16</f>
        <v/>
      </c>
      <c r="M16" s="37">
        <f>G16*C16*B16</f>
        <v/>
      </c>
    </row>
    <row r="17">
      <c r="A17" s="38" t="inlineStr">
        <is>
          <t>Networking &amp; Événementiel</t>
        </is>
      </c>
      <c r="B17" s="39" t="n">
        <v>50000</v>
      </c>
      <c r="C17" s="40" t="n">
        <v>2</v>
      </c>
      <c r="D17" s="39" t="n">
        <v>12000</v>
      </c>
      <c r="E17" s="36" t="n">
        <v>0.12</v>
      </c>
      <c r="F17" s="36" t="n">
        <v>0.28</v>
      </c>
      <c r="G17" s="36" t="n">
        <v>0.6</v>
      </c>
      <c r="H17" s="37">
        <f>E17*C17*D17</f>
        <v/>
      </c>
      <c r="I17" s="37">
        <f>F17*C17*D17</f>
        <v/>
      </c>
      <c r="J17" s="37">
        <f>G17*C17*D17</f>
        <v/>
      </c>
      <c r="K17" s="37">
        <f>E17*C17*B17</f>
        <v/>
      </c>
      <c r="L17" s="37">
        <f>F17*C17*B17</f>
        <v/>
      </c>
      <c r="M17" s="37">
        <f>G17*C17*B17</f>
        <v/>
      </c>
    </row>
    <row r="18">
      <c r="A18" s="33" t="inlineStr">
        <is>
          <t>Télécom &amp; Connectivité</t>
        </is>
      </c>
      <c r="B18" s="34" t="n">
        <v>90000</v>
      </c>
      <c r="C18" s="35" t="n">
        <v>1</v>
      </c>
      <c r="D18" s="34" t="n">
        <v>30000</v>
      </c>
      <c r="E18" s="36" t="n">
        <v>0.07000000000000001</v>
      </c>
      <c r="F18" s="36" t="n">
        <v>0.15</v>
      </c>
      <c r="G18" s="36" t="n">
        <v>0.35</v>
      </c>
      <c r="H18" s="37">
        <f>E18*C18*D18</f>
        <v/>
      </c>
      <c r="I18" s="37">
        <f>F18*C18*D18</f>
        <v/>
      </c>
      <c r="J18" s="37">
        <f>G18*C18*D18</f>
        <v/>
      </c>
      <c r="K18" s="37">
        <f>E18*C18*B18</f>
        <v/>
      </c>
      <c r="L18" s="37">
        <f>F18*C18*B18</f>
        <v/>
      </c>
      <c r="M18" s="37">
        <f>G18*C18*B18</f>
        <v/>
      </c>
    </row>
    <row r="19">
      <c r="A19" s="41" t="inlineStr">
        <is>
          <t>TOTAL / MEMBRE / AN</t>
        </is>
      </c>
      <c r="B19" s="42" t="n"/>
      <c r="C19" s="42" t="n"/>
      <c r="D19" s="42" t="n"/>
      <c r="E19" s="42" t="n"/>
      <c r="F19" s="42" t="n"/>
      <c r="G19" s="42" t="n"/>
      <c r="H19" s="43">
        <f>SUM(H4:H18)</f>
        <v/>
      </c>
      <c r="I19" s="43">
        <f>SUM(I4:I18)</f>
        <v/>
      </c>
      <c r="J19" s="43">
        <f>SUM(J4:J18)</f>
        <v/>
      </c>
      <c r="K19" s="43">
        <f>SUM(K4:K18)</f>
        <v/>
      </c>
      <c r="L19" s="43">
        <f>SUM(L4:L18)</f>
        <v/>
      </c>
      <c r="M19" s="43">
        <f>SUM(M4:M18)</f>
        <v/>
      </c>
    </row>
    <row r="21">
      <c r="A21" s="44" t="inlineStr">
        <is>
          <t>SYNTHÈSE PAR FORMULE  —  la clé de l'accessibilité</t>
        </is>
      </c>
    </row>
    <row r="22" ht="30" customHeight="1">
      <c r="A22" s="11" t="inlineStr">
        <is>
          <t>Indicateur</t>
        </is>
      </c>
      <c r="B22" s="11" t="inlineStr">
        <is>
          <t>CN Essentiel</t>
        </is>
      </c>
      <c r="C22" s="11" t="inlineStr">
        <is>
          <t>CN Business</t>
        </is>
      </c>
      <c r="D22" s="11" t="inlineStr">
        <is>
          <t>CN Élite</t>
        </is>
      </c>
    </row>
    <row r="23">
      <c r="A23" s="21" t="inlineStr">
        <is>
          <t>Cotisation annuelle</t>
        </is>
      </c>
      <c r="B23" s="45">
        <f>Hypotheses!B4</f>
        <v/>
      </c>
      <c r="C23" s="45">
        <f>Hypotheses!B5</f>
        <v/>
      </c>
      <c r="D23" s="45">
        <f>Hypotheses!B6</f>
        <v/>
      </c>
    </row>
    <row r="24">
      <c r="A24" s="21" t="inlineStr">
        <is>
          <t>Coût mutualisé attendu (réel)</t>
        </is>
      </c>
      <c r="B24" s="45">
        <f>H19</f>
        <v/>
      </c>
      <c r="C24" s="45">
        <f>I19</f>
        <v/>
      </c>
      <c r="D24" s="45">
        <f>J19</f>
        <v/>
      </c>
    </row>
    <row r="25">
      <c r="A25" s="21" t="inlineStr">
        <is>
          <t>Valeur faciale perçue</t>
        </is>
      </c>
      <c r="B25" s="45">
        <f>K19</f>
        <v/>
      </c>
      <c r="C25" s="45">
        <f>L19</f>
        <v/>
      </c>
      <c r="D25" s="45">
        <f>M19</f>
        <v/>
      </c>
    </row>
    <row r="26">
      <c r="A26" s="21" t="inlineStr">
        <is>
          <t>Ratio coût / cotisation (loss ratio)</t>
        </is>
      </c>
      <c r="B26" s="46">
        <f>H19/Hypotheses!B4</f>
        <v/>
      </c>
      <c r="C26" s="46">
        <f>I19/Hypotheses!B5</f>
        <v/>
      </c>
      <c r="D26" s="46">
        <f>J19/Hypotheses!B6</f>
        <v/>
      </c>
    </row>
    <row r="27">
      <c r="A27" s="21" t="inlineStr">
        <is>
          <t>Effet de levier (valeur / prix)</t>
        </is>
      </c>
      <c r="B27" s="47">
        <f>K19/Hypotheses!B4</f>
        <v/>
      </c>
      <c r="C27" s="47">
        <f>L19/Hypotheses!B5</f>
        <v/>
      </c>
      <c r="D27" s="47">
        <f>M19/Hypotheses!B6</f>
        <v/>
      </c>
    </row>
    <row r="28">
      <c r="A28" s="27" t="inlineStr">
        <is>
          <t>Lecture : le membre perçoit une valeur plusieurs fois supérieure au prix, alors que le coût réel mutualisé reste maîtrisé.</t>
        </is>
      </c>
    </row>
  </sheetData>
  <mergeCells count="4">
    <mergeCell ref="A21:D21"/>
    <mergeCell ref="A2:M2"/>
    <mergeCell ref="A1:M1"/>
    <mergeCell ref="A28:D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48" t="inlineStr">
        <is>
          <t>PRÉVISIONNEL DES ADHÉRENTS  —  36 mois (20 → 850+)</t>
        </is>
      </c>
    </row>
    <row r="3" ht="30" customHeight="1">
      <c r="A3" s="11" t="inlineStr">
        <is>
          <t>Mois</t>
        </is>
      </c>
      <c r="B3" s="11" t="inlineStr">
        <is>
          <t>Total actifs</t>
        </is>
      </c>
      <c r="C3" s="11" t="inlineStr">
        <is>
          <t>Essentiel</t>
        </is>
      </c>
      <c r="D3" s="11" t="inlineStr">
        <is>
          <t>Business</t>
        </is>
      </c>
      <c r="E3" s="11" t="inlineStr">
        <is>
          <t>Élite</t>
        </is>
      </c>
      <c r="F3" s="11" t="inlineStr">
        <is>
          <t>Nouveaux</t>
        </is>
      </c>
      <c r="G3" s="11" t="inlineStr">
        <is>
          <t>Churn</t>
        </is>
      </c>
    </row>
    <row r="4">
      <c r="A4" s="33" t="inlineStr">
        <is>
          <t>Mois 1</t>
        </is>
      </c>
      <c r="B4" s="49" t="n">
        <v>20</v>
      </c>
      <c r="C4" s="49">
        <f>ROUND(B4*Hypotheses!$B$8,0)</f>
        <v/>
      </c>
      <c r="D4" s="49">
        <f>ROUND(B4*Hypotheses!$B$9,0)</f>
        <v/>
      </c>
      <c r="E4" s="49">
        <f>B4-C4-D4</f>
        <v/>
      </c>
      <c r="F4" s="49">
        <f>B4</f>
        <v/>
      </c>
      <c r="G4" s="49" t="n">
        <v>0</v>
      </c>
    </row>
    <row r="5">
      <c r="A5" s="38" t="inlineStr">
        <is>
          <t>Mois 2</t>
        </is>
      </c>
      <c r="B5" s="50" t="n">
        <v>20</v>
      </c>
      <c r="C5" s="50">
        <f>ROUND(B5*Hypotheses!$B$8,0)</f>
        <v/>
      </c>
      <c r="D5" s="50">
        <f>ROUND(B5*Hypotheses!$B$9,0)</f>
        <v/>
      </c>
      <c r="E5" s="50">
        <f>B5-C5-D5</f>
        <v/>
      </c>
      <c r="F5" s="50">
        <f>MAX(0,B5-B4)+G5</f>
        <v/>
      </c>
      <c r="G5" s="50">
        <f>ROUND(B4*Hypotheses!$B$13,0)</f>
        <v/>
      </c>
    </row>
    <row r="6">
      <c r="A6" s="33" t="inlineStr">
        <is>
          <t>Mois 3</t>
        </is>
      </c>
      <c r="B6" s="49" t="n">
        <v>32</v>
      </c>
      <c r="C6" s="49">
        <f>ROUND(B6*Hypotheses!$B$8,0)</f>
        <v/>
      </c>
      <c r="D6" s="49">
        <f>ROUND(B6*Hypotheses!$B$9,0)</f>
        <v/>
      </c>
      <c r="E6" s="49">
        <f>B6-C6-D6</f>
        <v/>
      </c>
      <c r="F6" s="49">
        <f>MAX(0,B6-B5)+G6</f>
        <v/>
      </c>
      <c r="G6" s="49">
        <f>ROUND(B5*Hypotheses!$B$13,0)</f>
        <v/>
      </c>
    </row>
    <row r="7">
      <c r="A7" s="38" t="inlineStr">
        <is>
          <t>Mois 4</t>
        </is>
      </c>
      <c r="B7" s="50" t="n">
        <v>48</v>
      </c>
      <c r="C7" s="50">
        <f>ROUND(B7*Hypotheses!$B$8,0)</f>
        <v/>
      </c>
      <c r="D7" s="50">
        <f>ROUND(B7*Hypotheses!$B$9,0)</f>
        <v/>
      </c>
      <c r="E7" s="50">
        <f>B7-C7-D7</f>
        <v/>
      </c>
      <c r="F7" s="50">
        <f>MAX(0,B7-B6)+G7</f>
        <v/>
      </c>
      <c r="G7" s="50">
        <f>ROUND(B6*Hypotheses!$B$13,0)</f>
        <v/>
      </c>
    </row>
    <row r="8">
      <c r="A8" s="33" t="inlineStr">
        <is>
          <t>Mois 5</t>
        </is>
      </c>
      <c r="B8" s="49" t="n">
        <v>68</v>
      </c>
      <c r="C8" s="49">
        <f>ROUND(B8*Hypotheses!$B$8,0)</f>
        <v/>
      </c>
      <c r="D8" s="49">
        <f>ROUND(B8*Hypotheses!$B$9,0)</f>
        <v/>
      </c>
      <c r="E8" s="49">
        <f>B8-C8-D8</f>
        <v/>
      </c>
      <c r="F8" s="49">
        <f>MAX(0,B8-B7)+G8</f>
        <v/>
      </c>
      <c r="G8" s="49">
        <f>ROUND(B7*Hypotheses!$B$13,0)</f>
        <v/>
      </c>
    </row>
    <row r="9">
      <c r="A9" s="38" t="inlineStr">
        <is>
          <t>Mois 6</t>
        </is>
      </c>
      <c r="B9" s="50" t="n">
        <v>92</v>
      </c>
      <c r="C9" s="50">
        <f>ROUND(B9*Hypotheses!$B$8,0)</f>
        <v/>
      </c>
      <c r="D9" s="50">
        <f>ROUND(B9*Hypotheses!$B$9,0)</f>
        <v/>
      </c>
      <c r="E9" s="50">
        <f>B9-C9-D9</f>
        <v/>
      </c>
      <c r="F9" s="50">
        <f>MAX(0,B9-B8)+G9</f>
        <v/>
      </c>
      <c r="G9" s="50">
        <f>ROUND(B8*Hypotheses!$B$13,0)</f>
        <v/>
      </c>
    </row>
    <row r="10">
      <c r="A10" s="33" t="inlineStr">
        <is>
          <t>Mois 7</t>
        </is>
      </c>
      <c r="B10" s="49" t="n">
        <v>120</v>
      </c>
      <c r="C10" s="49">
        <f>ROUND(B10*Hypotheses!$B$8,0)</f>
        <v/>
      </c>
      <c r="D10" s="49">
        <f>ROUND(B10*Hypotheses!$B$9,0)</f>
        <v/>
      </c>
      <c r="E10" s="49">
        <f>B10-C10-D10</f>
        <v/>
      </c>
      <c r="F10" s="49">
        <f>MAX(0,B10-B9)+G10</f>
        <v/>
      </c>
      <c r="G10" s="49">
        <f>ROUND(B9*Hypotheses!$B$13,0)</f>
        <v/>
      </c>
    </row>
    <row r="11">
      <c r="A11" s="38" t="inlineStr">
        <is>
          <t>Mois 8</t>
        </is>
      </c>
      <c r="B11" s="50" t="n">
        <v>150</v>
      </c>
      <c r="C11" s="50">
        <f>ROUND(B11*Hypotheses!$B$8,0)</f>
        <v/>
      </c>
      <c r="D11" s="50">
        <f>ROUND(B11*Hypotheses!$B$9,0)</f>
        <v/>
      </c>
      <c r="E11" s="50">
        <f>B11-C11-D11</f>
        <v/>
      </c>
      <c r="F11" s="50">
        <f>MAX(0,B11-B10)+G11</f>
        <v/>
      </c>
      <c r="G11" s="50">
        <f>ROUND(B10*Hypotheses!$B$13,0)</f>
        <v/>
      </c>
    </row>
    <row r="12">
      <c r="A12" s="33" t="inlineStr">
        <is>
          <t>Mois 9</t>
        </is>
      </c>
      <c r="B12" s="49" t="n">
        <v>185</v>
      </c>
      <c r="C12" s="49">
        <f>ROUND(B12*Hypotheses!$B$8,0)</f>
        <v/>
      </c>
      <c r="D12" s="49">
        <f>ROUND(B12*Hypotheses!$B$9,0)</f>
        <v/>
      </c>
      <c r="E12" s="49">
        <f>B12-C12-D12</f>
        <v/>
      </c>
      <c r="F12" s="49">
        <f>MAX(0,B12-B11)+G12</f>
        <v/>
      </c>
      <c r="G12" s="49">
        <f>ROUND(B11*Hypotheses!$B$13,0)</f>
        <v/>
      </c>
    </row>
    <row r="13">
      <c r="A13" s="38" t="inlineStr">
        <is>
          <t>Mois 10</t>
        </is>
      </c>
      <c r="B13" s="50" t="n">
        <v>222</v>
      </c>
      <c r="C13" s="50">
        <f>ROUND(B13*Hypotheses!$B$8,0)</f>
        <v/>
      </c>
      <c r="D13" s="50">
        <f>ROUND(B13*Hypotheses!$B$9,0)</f>
        <v/>
      </c>
      <c r="E13" s="50">
        <f>B13-C13-D13</f>
        <v/>
      </c>
      <c r="F13" s="50">
        <f>MAX(0,B13-B12)+G13</f>
        <v/>
      </c>
      <c r="G13" s="50">
        <f>ROUND(B12*Hypotheses!$B$13,0)</f>
        <v/>
      </c>
    </row>
    <row r="14">
      <c r="A14" s="33" t="inlineStr">
        <is>
          <t>Mois 11</t>
        </is>
      </c>
      <c r="B14" s="49" t="n">
        <v>262</v>
      </c>
      <c r="C14" s="49">
        <f>ROUND(B14*Hypotheses!$B$8,0)</f>
        <v/>
      </c>
      <c r="D14" s="49">
        <f>ROUND(B14*Hypotheses!$B$9,0)</f>
        <v/>
      </c>
      <c r="E14" s="49">
        <f>B14-C14-D14</f>
        <v/>
      </c>
      <c r="F14" s="49">
        <f>MAX(0,B14-B13)+G14</f>
        <v/>
      </c>
      <c r="G14" s="49">
        <f>ROUND(B13*Hypotheses!$B$13,0)</f>
        <v/>
      </c>
    </row>
    <row r="15">
      <c r="A15" s="38" t="inlineStr">
        <is>
          <t>Mois 12</t>
        </is>
      </c>
      <c r="B15" s="50" t="n">
        <v>305</v>
      </c>
      <c r="C15" s="50">
        <f>ROUND(B15*Hypotheses!$B$8,0)</f>
        <v/>
      </c>
      <c r="D15" s="50">
        <f>ROUND(B15*Hypotheses!$B$9,0)</f>
        <v/>
      </c>
      <c r="E15" s="50">
        <f>B15-C15-D15</f>
        <v/>
      </c>
      <c r="F15" s="50">
        <f>MAX(0,B15-B14)+G15</f>
        <v/>
      </c>
      <c r="G15" s="50">
        <f>ROUND(B14*Hypotheses!$B$13,0)</f>
        <v/>
      </c>
    </row>
    <row r="16">
      <c r="A16" s="33" t="inlineStr">
        <is>
          <t>Mois 13</t>
        </is>
      </c>
      <c r="B16" s="49" t="n">
        <v>350</v>
      </c>
      <c r="C16" s="49">
        <f>ROUND(B16*Hypotheses!$B$8,0)</f>
        <v/>
      </c>
      <c r="D16" s="49">
        <f>ROUND(B16*Hypotheses!$B$9,0)</f>
        <v/>
      </c>
      <c r="E16" s="49">
        <f>B16-C16-D16</f>
        <v/>
      </c>
      <c r="F16" s="49">
        <f>MAX(0,B16-B15)+G16</f>
        <v/>
      </c>
      <c r="G16" s="49">
        <f>ROUND(B15*Hypotheses!$B$13,0)</f>
        <v/>
      </c>
    </row>
    <row r="17">
      <c r="A17" s="38" t="inlineStr">
        <is>
          <t>Mois 14</t>
        </is>
      </c>
      <c r="B17" s="50" t="n">
        <v>395</v>
      </c>
      <c r="C17" s="50">
        <f>ROUND(B17*Hypotheses!$B$8,0)</f>
        <v/>
      </c>
      <c r="D17" s="50">
        <f>ROUND(B17*Hypotheses!$B$9,0)</f>
        <v/>
      </c>
      <c r="E17" s="50">
        <f>B17-C17-D17</f>
        <v/>
      </c>
      <c r="F17" s="50">
        <f>MAX(0,B17-B16)+G17</f>
        <v/>
      </c>
      <c r="G17" s="50">
        <f>ROUND(B16*Hypotheses!$B$13,0)</f>
        <v/>
      </c>
    </row>
    <row r="18">
      <c r="A18" s="33" t="inlineStr">
        <is>
          <t>Mois 15</t>
        </is>
      </c>
      <c r="B18" s="49" t="n">
        <v>440</v>
      </c>
      <c r="C18" s="49">
        <f>ROUND(B18*Hypotheses!$B$8,0)</f>
        <v/>
      </c>
      <c r="D18" s="49">
        <f>ROUND(B18*Hypotheses!$B$9,0)</f>
        <v/>
      </c>
      <c r="E18" s="49">
        <f>B18-C18-D18</f>
        <v/>
      </c>
      <c r="F18" s="49">
        <f>MAX(0,B18-B17)+G18</f>
        <v/>
      </c>
      <c r="G18" s="49">
        <f>ROUND(B17*Hypotheses!$B$13,0)</f>
        <v/>
      </c>
    </row>
    <row r="19">
      <c r="A19" s="38" t="inlineStr">
        <is>
          <t>Mois 16</t>
        </is>
      </c>
      <c r="B19" s="50" t="n">
        <v>480</v>
      </c>
      <c r="C19" s="50">
        <f>ROUND(B19*Hypotheses!$B$8,0)</f>
        <v/>
      </c>
      <c r="D19" s="50">
        <f>ROUND(B19*Hypotheses!$B$9,0)</f>
        <v/>
      </c>
      <c r="E19" s="50">
        <f>B19-C19-D19</f>
        <v/>
      </c>
      <c r="F19" s="50">
        <f>MAX(0,B19-B18)+G19</f>
        <v/>
      </c>
      <c r="G19" s="50">
        <f>ROUND(B18*Hypotheses!$B$13,0)</f>
        <v/>
      </c>
    </row>
    <row r="20">
      <c r="A20" s="33" t="inlineStr">
        <is>
          <t>Mois 17</t>
        </is>
      </c>
      <c r="B20" s="49" t="n">
        <v>515</v>
      </c>
      <c r="C20" s="49">
        <f>ROUND(B20*Hypotheses!$B$8,0)</f>
        <v/>
      </c>
      <c r="D20" s="49">
        <f>ROUND(B20*Hypotheses!$B$9,0)</f>
        <v/>
      </c>
      <c r="E20" s="49">
        <f>B20-C20-D20</f>
        <v/>
      </c>
      <c r="F20" s="49">
        <f>MAX(0,B20-B19)+G20</f>
        <v/>
      </c>
      <c r="G20" s="49">
        <f>ROUND(B19*Hypotheses!$B$13,0)</f>
        <v/>
      </c>
    </row>
    <row r="21">
      <c r="A21" s="38" t="inlineStr">
        <is>
          <t>Mois 18</t>
        </is>
      </c>
      <c r="B21" s="50" t="n">
        <v>545</v>
      </c>
      <c r="C21" s="50">
        <f>ROUND(B21*Hypotheses!$B$8,0)</f>
        <v/>
      </c>
      <c r="D21" s="50">
        <f>ROUND(B21*Hypotheses!$B$9,0)</f>
        <v/>
      </c>
      <c r="E21" s="50">
        <f>B21-C21-D21</f>
        <v/>
      </c>
      <c r="F21" s="50">
        <f>MAX(0,B21-B20)+G21</f>
        <v/>
      </c>
      <c r="G21" s="50">
        <f>ROUND(B20*Hypotheses!$B$13,0)</f>
        <v/>
      </c>
    </row>
    <row r="22">
      <c r="A22" s="33" t="inlineStr">
        <is>
          <t>Mois 19</t>
        </is>
      </c>
      <c r="B22" s="49" t="n">
        <v>575</v>
      </c>
      <c r="C22" s="49">
        <f>ROUND(B22*Hypotheses!$B$8,0)</f>
        <v/>
      </c>
      <c r="D22" s="49">
        <f>ROUND(B22*Hypotheses!$B$9,0)</f>
        <v/>
      </c>
      <c r="E22" s="49">
        <f>B22-C22-D22</f>
        <v/>
      </c>
      <c r="F22" s="49">
        <f>MAX(0,B22-B21)+G22</f>
        <v/>
      </c>
      <c r="G22" s="49">
        <f>ROUND(B21*Hypotheses!$B$13,0)</f>
        <v/>
      </c>
    </row>
    <row r="23">
      <c r="A23" s="38" t="inlineStr">
        <is>
          <t>Mois 20</t>
        </is>
      </c>
      <c r="B23" s="50" t="n">
        <v>600</v>
      </c>
      <c r="C23" s="50">
        <f>ROUND(B23*Hypotheses!$B$8,0)</f>
        <v/>
      </c>
      <c r="D23" s="50">
        <f>ROUND(B23*Hypotheses!$B$9,0)</f>
        <v/>
      </c>
      <c r="E23" s="50">
        <f>B23-C23-D23</f>
        <v/>
      </c>
      <c r="F23" s="50">
        <f>MAX(0,B23-B22)+G23</f>
        <v/>
      </c>
      <c r="G23" s="50">
        <f>ROUND(B22*Hypotheses!$B$13,0)</f>
        <v/>
      </c>
    </row>
    <row r="24">
      <c r="A24" s="33" t="inlineStr">
        <is>
          <t>Mois 21</t>
        </is>
      </c>
      <c r="B24" s="49" t="n">
        <v>625</v>
      </c>
      <c r="C24" s="49">
        <f>ROUND(B24*Hypotheses!$B$8,0)</f>
        <v/>
      </c>
      <c r="D24" s="49">
        <f>ROUND(B24*Hypotheses!$B$9,0)</f>
        <v/>
      </c>
      <c r="E24" s="49">
        <f>B24-C24-D24</f>
        <v/>
      </c>
      <c r="F24" s="49">
        <f>MAX(0,B24-B23)+G24</f>
        <v/>
      </c>
      <c r="G24" s="49">
        <f>ROUND(B23*Hypotheses!$B$13,0)</f>
        <v/>
      </c>
    </row>
    <row r="25">
      <c r="A25" s="38" t="inlineStr">
        <is>
          <t>Mois 22</t>
        </is>
      </c>
      <c r="B25" s="50" t="n">
        <v>650</v>
      </c>
      <c r="C25" s="50">
        <f>ROUND(B25*Hypotheses!$B$8,0)</f>
        <v/>
      </c>
      <c r="D25" s="50">
        <f>ROUND(B25*Hypotheses!$B$9,0)</f>
        <v/>
      </c>
      <c r="E25" s="50">
        <f>B25-C25-D25</f>
        <v/>
      </c>
      <c r="F25" s="50">
        <f>MAX(0,B25-B24)+G25</f>
        <v/>
      </c>
      <c r="G25" s="50">
        <f>ROUND(B24*Hypotheses!$B$13,0)</f>
        <v/>
      </c>
    </row>
    <row r="26">
      <c r="A26" s="33" t="inlineStr">
        <is>
          <t>Mois 23</t>
        </is>
      </c>
      <c r="B26" s="49" t="n">
        <v>675</v>
      </c>
      <c r="C26" s="49">
        <f>ROUND(B26*Hypotheses!$B$8,0)</f>
        <v/>
      </c>
      <c r="D26" s="49">
        <f>ROUND(B26*Hypotheses!$B$9,0)</f>
        <v/>
      </c>
      <c r="E26" s="49">
        <f>B26-C26-D26</f>
        <v/>
      </c>
      <c r="F26" s="49">
        <f>MAX(0,B26-B25)+G26</f>
        <v/>
      </c>
      <c r="G26" s="49">
        <f>ROUND(B25*Hypotheses!$B$13,0)</f>
        <v/>
      </c>
    </row>
    <row r="27">
      <c r="A27" s="38" t="inlineStr">
        <is>
          <t>Mois 24</t>
        </is>
      </c>
      <c r="B27" s="50" t="n">
        <v>700</v>
      </c>
      <c r="C27" s="50">
        <f>ROUND(B27*Hypotheses!$B$8,0)</f>
        <v/>
      </c>
      <c r="D27" s="50">
        <f>ROUND(B27*Hypotheses!$B$9,0)</f>
        <v/>
      </c>
      <c r="E27" s="50">
        <f>B27-C27-D27</f>
        <v/>
      </c>
      <c r="F27" s="50">
        <f>MAX(0,B27-B26)+G27</f>
        <v/>
      </c>
      <c r="G27" s="50">
        <f>ROUND(B26*Hypotheses!$B$13,0)</f>
        <v/>
      </c>
    </row>
    <row r="28">
      <c r="A28" s="33" t="inlineStr">
        <is>
          <t>Mois 25</t>
        </is>
      </c>
      <c r="B28" s="49" t="n">
        <v>720</v>
      </c>
      <c r="C28" s="49">
        <f>ROUND(B28*Hypotheses!$B$8,0)</f>
        <v/>
      </c>
      <c r="D28" s="49">
        <f>ROUND(B28*Hypotheses!$B$9,0)</f>
        <v/>
      </c>
      <c r="E28" s="49">
        <f>B28-C28-D28</f>
        <v/>
      </c>
      <c r="F28" s="49">
        <f>MAX(0,B28-B27)+G28</f>
        <v/>
      </c>
      <c r="G28" s="49">
        <f>ROUND(B27*Hypotheses!$B$13,0)</f>
        <v/>
      </c>
    </row>
    <row r="29">
      <c r="A29" s="38" t="inlineStr">
        <is>
          <t>Mois 26</t>
        </is>
      </c>
      <c r="B29" s="50" t="n">
        <v>740</v>
      </c>
      <c r="C29" s="50">
        <f>ROUND(B29*Hypotheses!$B$8,0)</f>
        <v/>
      </c>
      <c r="D29" s="50">
        <f>ROUND(B29*Hypotheses!$B$9,0)</f>
        <v/>
      </c>
      <c r="E29" s="50">
        <f>B29-C29-D29</f>
        <v/>
      </c>
      <c r="F29" s="50">
        <f>MAX(0,B29-B28)+G29</f>
        <v/>
      </c>
      <c r="G29" s="50">
        <f>ROUND(B28*Hypotheses!$B$13,0)</f>
        <v/>
      </c>
    </row>
    <row r="30">
      <c r="A30" s="33" t="inlineStr">
        <is>
          <t>Mois 27</t>
        </is>
      </c>
      <c r="B30" s="49" t="n">
        <v>758</v>
      </c>
      <c r="C30" s="49">
        <f>ROUND(B30*Hypotheses!$B$8,0)</f>
        <v/>
      </c>
      <c r="D30" s="49">
        <f>ROUND(B30*Hypotheses!$B$9,0)</f>
        <v/>
      </c>
      <c r="E30" s="49">
        <f>B30-C30-D30</f>
        <v/>
      </c>
      <c r="F30" s="49">
        <f>MAX(0,B30-B29)+G30</f>
        <v/>
      </c>
      <c r="G30" s="49">
        <f>ROUND(B29*Hypotheses!$B$13,0)</f>
        <v/>
      </c>
    </row>
    <row r="31">
      <c r="A31" s="38" t="inlineStr">
        <is>
          <t>Mois 28</t>
        </is>
      </c>
      <c r="B31" s="50" t="n">
        <v>772</v>
      </c>
      <c r="C31" s="50">
        <f>ROUND(B31*Hypotheses!$B$8,0)</f>
        <v/>
      </c>
      <c r="D31" s="50">
        <f>ROUND(B31*Hypotheses!$B$9,0)</f>
        <v/>
      </c>
      <c r="E31" s="50">
        <f>B31-C31-D31</f>
        <v/>
      </c>
      <c r="F31" s="50">
        <f>MAX(0,B31-B30)+G31</f>
        <v/>
      </c>
      <c r="G31" s="50">
        <f>ROUND(B30*Hypotheses!$B$13,0)</f>
        <v/>
      </c>
    </row>
    <row r="32">
      <c r="A32" s="33" t="inlineStr">
        <is>
          <t>Mois 29</t>
        </is>
      </c>
      <c r="B32" s="49" t="n">
        <v>785</v>
      </c>
      <c r="C32" s="49">
        <f>ROUND(B32*Hypotheses!$B$8,0)</f>
        <v/>
      </c>
      <c r="D32" s="49">
        <f>ROUND(B32*Hypotheses!$B$9,0)</f>
        <v/>
      </c>
      <c r="E32" s="49">
        <f>B32-C32-D32</f>
        <v/>
      </c>
      <c r="F32" s="49">
        <f>MAX(0,B32-B31)+G32</f>
        <v/>
      </c>
      <c r="G32" s="49">
        <f>ROUND(B31*Hypotheses!$B$13,0)</f>
        <v/>
      </c>
    </row>
    <row r="33">
      <c r="A33" s="38" t="inlineStr">
        <is>
          <t>Mois 30</t>
        </is>
      </c>
      <c r="B33" s="50" t="n">
        <v>795</v>
      </c>
      <c r="C33" s="50">
        <f>ROUND(B33*Hypotheses!$B$8,0)</f>
        <v/>
      </c>
      <c r="D33" s="50">
        <f>ROUND(B33*Hypotheses!$B$9,0)</f>
        <v/>
      </c>
      <c r="E33" s="50">
        <f>B33-C33-D33</f>
        <v/>
      </c>
      <c r="F33" s="50">
        <f>MAX(0,B33-B32)+G33</f>
        <v/>
      </c>
      <c r="G33" s="50">
        <f>ROUND(B32*Hypotheses!$B$13,0)</f>
        <v/>
      </c>
    </row>
    <row r="34">
      <c r="A34" s="33" t="inlineStr">
        <is>
          <t>Mois 31</t>
        </is>
      </c>
      <c r="B34" s="49" t="n">
        <v>805</v>
      </c>
      <c r="C34" s="49">
        <f>ROUND(B34*Hypotheses!$B$8,0)</f>
        <v/>
      </c>
      <c r="D34" s="49">
        <f>ROUND(B34*Hypotheses!$B$9,0)</f>
        <v/>
      </c>
      <c r="E34" s="49">
        <f>B34-C34-D34</f>
        <v/>
      </c>
      <c r="F34" s="49">
        <f>MAX(0,B34-B33)+G34</f>
        <v/>
      </c>
      <c r="G34" s="49">
        <f>ROUND(B33*Hypotheses!$B$13,0)</f>
        <v/>
      </c>
    </row>
    <row r="35">
      <c r="A35" s="38" t="inlineStr">
        <is>
          <t>Mois 32</t>
        </is>
      </c>
      <c r="B35" s="50" t="n">
        <v>815</v>
      </c>
      <c r="C35" s="50">
        <f>ROUND(B35*Hypotheses!$B$8,0)</f>
        <v/>
      </c>
      <c r="D35" s="50">
        <f>ROUND(B35*Hypotheses!$B$9,0)</f>
        <v/>
      </c>
      <c r="E35" s="50">
        <f>B35-C35-D35</f>
        <v/>
      </c>
      <c r="F35" s="50">
        <f>MAX(0,B35-B34)+G35</f>
        <v/>
      </c>
      <c r="G35" s="50">
        <f>ROUND(B34*Hypotheses!$B$13,0)</f>
        <v/>
      </c>
    </row>
    <row r="36">
      <c r="A36" s="33" t="inlineStr">
        <is>
          <t>Mois 33</t>
        </is>
      </c>
      <c r="B36" s="49" t="n">
        <v>825</v>
      </c>
      <c r="C36" s="49">
        <f>ROUND(B36*Hypotheses!$B$8,0)</f>
        <v/>
      </c>
      <c r="D36" s="49">
        <f>ROUND(B36*Hypotheses!$B$9,0)</f>
        <v/>
      </c>
      <c r="E36" s="49">
        <f>B36-C36-D36</f>
        <v/>
      </c>
      <c r="F36" s="49">
        <f>MAX(0,B36-B35)+G36</f>
        <v/>
      </c>
      <c r="G36" s="49">
        <f>ROUND(B35*Hypotheses!$B$13,0)</f>
        <v/>
      </c>
    </row>
    <row r="37">
      <c r="A37" s="38" t="inlineStr">
        <is>
          <t>Mois 34</t>
        </is>
      </c>
      <c r="B37" s="50" t="n">
        <v>835</v>
      </c>
      <c r="C37" s="50">
        <f>ROUND(B37*Hypotheses!$B$8,0)</f>
        <v/>
      </c>
      <c r="D37" s="50">
        <f>ROUND(B37*Hypotheses!$B$9,0)</f>
        <v/>
      </c>
      <c r="E37" s="50">
        <f>B37-C37-D37</f>
        <v/>
      </c>
      <c r="F37" s="50">
        <f>MAX(0,B37-B36)+G37</f>
        <v/>
      </c>
      <c r="G37" s="50">
        <f>ROUND(B36*Hypotheses!$B$13,0)</f>
        <v/>
      </c>
    </row>
    <row r="38">
      <c r="A38" s="33" t="inlineStr">
        <is>
          <t>Mois 35</t>
        </is>
      </c>
      <c r="B38" s="49" t="n">
        <v>845</v>
      </c>
      <c r="C38" s="49">
        <f>ROUND(B38*Hypotheses!$B$8,0)</f>
        <v/>
      </c>
      <c r="D38" s="49">
        <f>ROUND(B38*Hypotheses!$B$9,0)</f>
        <v/>
      </c>
      <c r="E38" s="49">
        <f>B38-C38-D38</f>
        <v/>
      </c>
      <c r="F38" s="49">
        <f>MAX(0,B38-B37)+G38</f>
        <v/>
      </c>
      <c r="G38" s="49">
        <f>ROUND(B37*Hypotheses!$B$13,0)</f>
        <v/>
      </c>
    </row>
    <row r="39">
      <c r="A39" s="38" t="inlineStr">
        <is>
          <t>Mois 36</t>
        </is>
      </c>
      <c r="B39" s="50" t="n">
        <v>855</v>
      </c>
      <c r="C39" s="50">
        <f>ROUND(B39*Hypotheses!$B$8,0)</f>
        <v/>
      </c>
      <c r="D39" s="50">
        <f>ROUND(B39*Hypotheses!$B$9,0)</f>
        <v/>
      </c>
      <c r="E39" s="50">
        <f>B39-C39-D39</f>
        <v/>
      </c>
      <c r="F39" s="50">
        <f>MAX(0,B39-B38)+G39</f>
        <v/>
      </c>
      <c r="G39" s="50">
        <f>ROUND(B38*Hypotheses!$B$13,0)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5" customWidth="1" min="4" max="4"/>
    <col width="15" customWidth="1" min="5" max="5"/>
    <col width="16" customWidth="1" min="6" max="6"/>
    <col width="15" customWidth="1" min="7" max="7"/>
    <col width="15" customWidth="1" min="8" max="8"/>
    <col width="16" customWidth="1" min="9" max="9"/>
    <col width="17" customWidth="1" min="10" max="10"/>
  </cols>
  <sheetData>
    <row r="1" ht="28" customHeight="1">
      <c r="A1" s="32" t="inlineStr">
        <is>
          <t>COMPTE DE RÉSULTAT PRÉVISIONNEL  —  mensuel, 36 mois (FCFA)</t>
        </is>
      </c>
    </row>
    <row r="3" ht="30" customHeight="1">
      <c r="A3" s="11" t="inlineStr">
        <is>
          <t>Mois</t>
        </is>
      </c>
      <c r="B3" s="11" t="inlineStr">
        <is>
          <t>Adhérents</t>
        </is>
      </c>
      <c r="C3" s="11" t="inlineStr">
        <is>
          <t>Rev. abonnements</t>
        </is>
      </c>
      <c r="D3" s="11" t="inlineStr">
        <is>
          <t>Rev. frais adh.</t>
        </is>
      </c>
      <c r="E3" s="11" t="inlineStr">
        <is>
          <t>Rev. commissions</t>
        </is>
      </c>
      <c r="F3" s="11" t="inlineStr">
        <is>
          <t>REVENU TOTAL</t>
        </is>
      </c>
      <c r="G3" s="11" t="inlineStr">
        <is>
          <t>Coût services</t>
        </is>
      </c>
      <c r="H3" s="11" t="inlineStr">
        <is>
          <t>OPEX + cartes</t>
        </is>
      </c>
      <c r="I3" s="11" t="inlineStr">
        <is>
          <t>Résultat mensuel</t>
        </is>
      </c>
      <c r="J3" s="11" t="inlineStr">
        <is>
          <t>Résultat cumulé</t>
        </is>
      </c>
    </row>
    <row r="4">
      <c r="A4" s="33" t="inlineStr">
        <is>
          <t>Mois 1</t>
        </is>
      </c>
      <c r="B4" s="49">
        <f>'Previsionnel_Membres'!B4</f>
        <v/>
      </c>
      <c r="C4" s="51">
        <f>('Previsionnel_Membres'!C4*Hypotheses!$B$4+'Previsionnel_Membres'!D4*Hypotheses!$B$5+'Previsionnel_Membres'!E4*Hypotheses!$B$6)/12</f>
        <v/>
      </c>
      <c r="D4" s="51">
        <f>'Previsionnel_Membres'!F4*Hypotheses!$B$12</f>
        <v/>
      </c>
      <c r="E4" s="51">
        <f>('Previsionnel_Membres'!C4*'Modele_Actuariel'!$K$19+'Previsionnel_Membres'!D4*'Modele_Actuariel'!$L$19+'Previsionnel_Membres'!E4*'Modele_Actuariel'!$M$19)/12*Hypotheses!$B$14</f>
        <v/>
      </c>
      <c r="F4" s="51">
        <f>SUM(C4:E4)</f>
        <v/>
      </c>
      <c r="G4" s="51">
        <f>('Previsionnel_Membres'!C4*'Modele_Actuariel'!$H$19+'Previsionnel_Membres'!D4*'Modele_Actuariel'!$I$19+'Previsionnel_Membres'!E4*'Modele_Actuariel'!$J$19)/12</f>
        <v/>
      </c>
      <c r="H4" s="51">
        <f>SUM(Hypotheses!$B$17:$B$20)+'Previsionnel_Membres'!F4*Hypotheses!$B$15</f>
        <v/>
      </c>
      <c r="I4" s="52">
        <f>F4-G4-H4</f>
        <v/>
      </c>
      <c r="J4" s="51">
        <f>I4</f>
        <v/>
      </c>
    </row>
    <row r="5">
      <c r="A5" s="38" t="inlineStr">
        <is>
          <t>Mois 2</t>
        </is>
      </c>
      <c r="B5" s="50">
        <f>'Previsionnel_Membres'!B5</f>
        <v/>
      </c>
      <c r="C5" s="37">
        <f>('Previsionnel_Membres'!C5*Hypotheses!$B$4+'Previsionnel_Membres'!D5*Hypotheses!$B$5+'Previsionnel_Membres'!E5*Hypotheses!$B$6)/12</f>
        <v/>
      </c>
      <c r="D5" s="37">
        <f>'Previsionnel_Membres'!F5*Hypotheses!$B$12</f>
        <v/>
      </c>
      <c r="E5" s="37">
        <f>('Previsionnel_Membres'!C5*'Modele_Actuariel'!$K$19+'Previsionnel_Membres'!D5*'Modele_Actuariel'!$L$19+'Previsionnel_Membres'!E5*'Modele_Actuariel'!$M$19)/12*Hypotheses!$B$14</f>
        <v/>
      </c>
      <c r="F5" s="37">
        <f>SUM(C5:E5)</f>
        <v/>
      </c>
      <c r="G5" s="37">
        <f>('Previsionnel_Membres'!C5*'Modele_Actuariel'!$H$19+'Previsionnel_Membres'!D5*'Modele_Actuariel'!$I$19+'Previsionnel_Membres'!E5*'Modele_Actuariel'!$J$19)/12</f>
        <v/>
      </c>
      <c r="H5" s="37">
        <f>SUM(Hypotheses!$B$17:$B$20)+'Previsionnel_Membres'!F5*Hypotheses!$B$15</f>
        <v/>
      </c>
      <c r="I5" s="53">
        <f>F5-G5-H5</f>
        <v/>
      </c>
      <c r="J5" s="37">
        <f>J4+I5</f>
        <v/>
      </c>
    </row>
    <row r="6">
      <c r="A6" s="33" t="inlineStr">
        <is>
          <t>Mois 3</t>
        </is>
      </c>
      <c r="B6" s="49">
        <f>'Previsionnel_Membres'!B6</f>
        <v/>
      </c>
      <c r="C6" s="51">
        <f>('Previsionnel_Membres'!C6*Hypotheses!$B$4+'Previsionnel_Membres'!D6*Hypotheses!$B$5+'Previsionnel_Membres'!E6*Hypotheses!$B$6)/12</f>
        <v/>
      </c>
      <c r="D6" s="51">
        <f>'Previsionnel_Membres'!F6*Hypotheses!$B$12</f>
        <v/>
      </c>
      <c r="E6" s="51">
        <f>('Previsionnel_Membres'!C6*'Modele_Actuariel'!$K$19+'Previsionnel_Membres'!D6*'Modele_Actuariel'!$L$19+'Previsionnel_Membres'!E6*'Modele_Actuariel'!$M$19)/12*Hypotheses!$B$14</f>
        <v/>
      </c>
      <c r="F6" s="51">
        <f>SUM(C6:E6)</f>
        <v/>
      </c>
      <c r="G6" s="51">
        <f>('Previsionnel_Membres'!C6*'Modele_Actuariel'!$H$19+'Previsionnel_Membres'!D6*'Modele_Actuariel'!$I$19+'Previsionnel_Membres'!E6*'Modele_Actuariel'!$J$19)/12</f>
        <v/>
      </c>
      <c r="H6" s="51">
        <f>SUM(Hypotheses!$B$17:$B$20)+'Previsionnel_Membres'!F6*Hypotheses!$B$15</f>
        <v/>
      </c>
      <c r="I6" s="52">
        <f>F6-G6-H6</f>
        <v/>
      </c>
      <c r="J6" s="51">
        <f>J5+I6</f>
        <v/>
      </c>
    </row>
    <row r="7">
      <c r="A7" s="38" t="inlineStr">
        <is>
          <t>Mois 4</t>
        </is>
      </c>
      <c r="B7" s="50">
        <f>'Previsionnel_Membres'!B7</f>
        <v/>
      </c>
      <c r="C7" s="37">
        <f>('Previsionnel_Membres'!C7*Hypotheses!$B$4+'Previsionnel_Membres'!D7*Hypotheses!$B$5+'Previsionnel_Membres'!E7*Hypotheses!$B$6)/12</f>
        <v/>
      </c>
      <c r="D7" s="37">
        <f>'Previsionnel_Membres'!F7*Hypotheses!$B$12</f>
        <v/>
      </c>
      <c r="E7" s="37">
        <f>('Previsionnel_Membres'!C7*'Modele_Actuariel'!$K$19+'Previsionnel_Membres'!D7*'Modele_Actuariel'!$L$19+'Previsionnel_Membres'!E7*'Modele_Actuariel'!$M$19)/12*Hypotheses!$B$14</f>
        <v/>
      </c>
      <c r="F7" s="37">
        <f>SUM(C7:E7)</f>
        <v/>
      </c>
      <c r="G7" s="37">
        <f>('Previsionnel_Membres'!C7*'Modele_Actuariel'!$H$19+'Previsionnel_Membres'!D7*'Modele_Actuariel'!$I$19+'Previsionnel_Membres'!E7*'Modele_Actuariel'!$J$19)/12</f>
        <v/>
      </c>
      <c r="H7" s="37">
        <f>SUM(Hypotheses!$B$17:$B$20)+'Previsionnel_Membres'!F7*Hypotheses!$B$15</f>
        <v/>
      </c>
      <c r="I7" s="53">
        <f>F7-G7-H7</f>
        <v/>
      </c>
      <c r="J7" s="37">
        <f>J6+I7</f>
        <v/>
      </c>
    </row>
    <row r="8">
      <c r="A8" s="33" t="inlineStr">
        <is>
          <t>Mois 5</t>
        </is>
      </c>
      <c r="B8" s="49">
        <f>'Previsionnel_Membres'!B8</f>
        <v/>
      </c>
      <c r="C8" s="51">
        <f>('Previsionnel_Membres'!C8*Hypotheses!$B$4+'Previsionnel_Membres'!D8*Hypotheses!$B$5+'Previsionnel_Membres'!E8*Hypotheses!$B$6)/12</f>
        <v/>
      </c>
      <c r="D8" s="51">
        <f>'Previsionnel_Membres'!F8*Hypotheses!$B$12</f>
        <v/>
      </c>
      <c r="E8" s="51">
        <f>('Previsionnel_Membres'!C8*'Modele_Actuariel'!$K$19+'Previsionnel_Membres'!D8*'Modele_Actuariel'!$L$19+'Previsionnel_Membres'!E8*'Modele_Actuariel'!$M$19)/12*Hypotheses!$B$14</f>
        <v/>
      </c>
      <c r="F8" s="51">
        <f>SUM(C8:E8)</f>
        <v/>
      </c>
      <c r="G8" s="51">
        <f>('Previsionnel_Membres'!C8*'Modele_Actuariel'!$H$19+'Previsionnel_Membres'!D8*'Modele_Actuariel'!$I$19+'Previsionnel_Membres'!E8*'Modele_Actuariel'!$J$19)/12</f>
        <v/>
      </c>
      <c r="H8" s="51">
        <f>SUM(Hypotheses!$B$17:$B$20)+'Previsionnel_Membres'!F8*Hypotheses!$B$15</f>
        <v/>
      </c>
      <c r="I8" s="52">
        <f>F8-G8-H8</f>
        <v/>
      </c>
      <c r="J8" s="51">
        <f>J7+I8</f>
        <v/>
      </c>
    </row>
    <row r="9">
      <c r="A9" s="38" t="inlineStr">
        <is>
          <t>Mois 6</t>
        </is>
      </c>
      <c r="B9" s="50">
        <f>'Previsionnel_Membres'!B9</f>
        <v/>
      </c>
      <c r="C9" s="37">
        <f>('Previsionnel_Membres'!C9*Hypotheses!$B$4+'Previsionnel_Membres'!D9*Hypotheses!$B$5+'Previsionnel_Membres'!E9*Hypotheses!$B$6)/12</f>
        <v/>
      </c>
      <c r="D9" s="37">
        <f>'Previsionnel_Membres'!F9*Hypotheses!$B$12</f>
        <v/>
      </c>
      <c r="E9" s="37">
        <f>('Previsionnel_Membres'!C9*'Modele_Actuariel'!$K$19+'Previsionnel_Membres'!D9*'Modele_Actuariel'!$L$19+'Previsionnel_Membres'!E9*'Modele_Actuariel'!$M$19)/12*Hypotheses!$B$14</f>
        <v/>
      </c>
      <c r="F9" s="37">
        <f>SUM(C9:E9)</f>
        <v/>
      </c>
      <c r="G9" s="37">
        <f>('Previsionnel_Membres'!C9*'Modele_Actuariel'!$H$19+'Previsionnel_Membres'!D9*'Modele_Actuariel'!$I$19+'Previsionnel_Membres'!E9*'Modele_Actuariel'!$J$19)/12</f>
        <v/>
      </c>
      <c r="H9" s="37">
        <f>SUM(Hypotheses!$B$17:$B$20)+'Previsionnel_Membres'!F9*Hypotheses!$B$15</f>
        <v/>
      </c>
      <c r="I9" s="53">
        <f>F9-G9-H9</f>
        <v/>
      </c>
      <c r="J9" s="37">
        <f>J8+I9</f>
        <v/>
      </c>
    </row>
    <row r="10">
      <c r="A10" s="33" t="inlineStr">
        <is>
          <t>Mois 7</t>
        </is>
      </c>
      <c r="B10" s="49">
        <f>'Previsionnel_Membres'!B10</f>
        <v/>
      </c>
      <c r="C10" s="51">
        <f>('Previsionnel_Membres'!C10*Hypotheses!$B$4+'Previsionnel_Membres'!D10*Hypotheses!$B$5+'Previsionnel_Membres'!E10*Hypotheses!$B$6)/12</f>
        <v/>
      </c>
      <c r="D10" s="51">
        <f>'Previsionnel_Membres'!F10*Hypotheses!$B$12</f>
        <v/>
      </c>
      <c r="E10" s="51">
        <f>('Previsionnel_Membres'!C10*'Modele_Actuariel'!$K$19+'Previsionnel_Membres'!D10*'Modele_Actuariel'!$L$19+'Previsionnel_Membres'!E10*'Modele_Actuariel'!$M$19)/12*Hypotheses!$B$14</f>
        <v/>
      </c>
      <c r="F10" s="51">
        <f>SUM(C10:E10)</f>
        <v/>
      </c>
      <c r="G10" s="51">
        <f>('Previsionnel_Membres'!C10*'Modele_Actuariel'!$H$19+'Previsionnel_Membres'!D10*'Modele_Actuariel'!$I$19+'Previsionnel_Membres'!E10*'Modele_Actuariel'!$J$19)/12</f>
        <v/>
      </c>
      <c r="H10" s="51">
        <f>SUM(Hypotheses!$B$17:$B$20)+'Previsionnel_Membres'!F10*Hypotheses!$B$15</f>
        <v/>
      </c>
      <c r="I10" s="52">
        <f>F10-G10-H10</f>
        <v/>
      </c>
      <c r="J10" s="51">
        <f>J9+I10</f>
        <v/>
      </c>
    </row>
    <row r="11">
      <c r="A11" s="38" t="inlineStr">
        <is>
          <t>Mois 8</t>
        </is>
      </c>
      <c r="B11" s="50">
        <f>'Previsionnel_Membres'!B11</f>
        <v/>
      </c>
      <c r="C11" s="37">
        <f>('Previsionnel_Membres'!C11*Hypotheses!$B$4+'Previsionnel_Membres'!D11*Hypotheses!$B$5+'Previsionnel_Membres'!E11*Hypotheses!$B$6)/12</f>
        <v/>
      </c>
      <c r="D11" s="37">
        <f>'Previsionnel_Membres'!F11*Hypotheses!$B$12</f>
        <v/>
      </c>
      <c r="E11" s="37">
        <f>('Previsionnel_Membres'!C11*'Modele_Actuariel'!$K$19+'Previsionnel_Membres'!D11*'Modele_Actuariel'!$L$19+'Previsionnel_Membres'!E11*'Modele_Actuariel'!$M$19)/12*Hypotheses!$B$14</f>
        <v/>
      </c>
      <c r="F11" s="37">
        <f>SUM(C11:E11)</f>
        <v/>
      </c>
      <c r="G11" s="37">
        <f>('Previsionnel_Membres'!C11*'Modele_Actuariel'!$H$19+'Previsionnel_Membres'!D11*'Modele_Actuariel'!$I$19+'Previsionnel_Membres'!E11*'Modele_Actuariel'!$J$19)/12</f>
        <v/>
      </c>
      <c r="H11" s="37">
        <f>SUM(Hypotheses!$B$17:$B$20)+'Previsionnel_Membres'!F11*Hypotheses!$B$15</f>
        <v/>
      </c>
      <c r="I11" s="53">
        <f>F11-G11-H11</f>
        <v/>
      </c>
      <c r="J11" s="37">
        <f>J10+I11</f>
        <v/>
      </c>
    </row>
    <row r="12">
      <c r="A12" s="33" t="inlineStr">
        <is>
          <t>Mois 9</t>
        </is>
      </c>
      <c r="B12" s="49">
        <f>'Previsionnel_Membres'!B12</f>
        <v/>
      </c>
      <c r="C12" s="51">
        <f>('Previsionnel_Membres'!C12*Hypotheses!$B$4+'Previsionnel_Membres'!D12*Hypotheses!$B$5+'Previsionnel_Membres'!E12*Hypotheses!$B$6)/12</f>
        <v/>
      </c>
      <c r="D12" s="51">
        <f>'Previsionnel_Membres'!F12*Hypotheses!$B$12</f>
        <v/>
      </c>
      <c r="E12" s="51">
        <f>('Previsionnel_Membres'!C12*'Modele_Actuariel'!$K$19+'Previsionnel_Membres'!D12*'Modele_Actuariel'!$L$19+'Previsionnel_Membres'!E12*'Modele_Actuariel'!$M$19)/12*Hypotheses!$B$14</f>
        <v/>
      </c>
      <c r="F12" s="51">
        <f>SUM(C12:E12)</f>
        <v/>
      </c>
      <c r="G12" s="51">
        <f>('Previsionnel_Membres'!C12*'Modele_Actuariel'!$H$19+'Previsionnel_Membres'!D12*'Modele_Actuariel'!$I$19+'Previsionnel_Membres'!E12*'Modele_Actuariel'!$J$19)/12</f>
        <v/>
      </c>
      <c r="H12" s="51">
        <f>SUM(Hypotheses!$B$17:$B$20)+'Previsionnel_Membres'!F12*Hypotheses!$B$15</f>
        <v/>
      </c>
      <c r="I12" s="52">
        <f>F12-G12-H12</f>
        <v/>
      </c>
      <c r="J12" s="51">
        <f>J11+I12</f>
        <v/>
      </c>
    </row>
    <row r="13">
      <c r="A13" s="38" t="inlineStr">
        <is>
          <t>Mois 10</t>
        </is>
      </c>
      <c r="B13" s="50">
        <f>'Previsionnel_Membres'!B13</f>
        <v/>
      </c>
      <c r="C13" s="37">
        <f>('Previsionnel_Membres'!C13*Hypotheses!$B$4+'Previsionnel_Membres'!D13*Hypotheses!$B$5+'Previsionnel_Membres'!E13*Hypotheses!$B$6)/12</f>
        <v/>
      </c>
      <c r="D13" s="37">
        <f>'Previsionnel_Membres'!F13*Hypotheses!$B$12</f>
        <v/>
      </c>
      <c r="E13" s="37">
        <f>('Previsionnel_Membres'!C13*'Modele_Actuariel'!$K$19+'Previsionnel_Membres'!D13*'Modele_Actuariel'!$L$19+'Previsionnel_Membres'!E13*'Modele_Actuariel'!$M$19)/12*Hypotheses!$B$14</f>
        <v/>
      </c>
      <c r="F13" s="37">
        <f>SUM(C13:E13)</f>
        <v/>
      </c>
      <c r="G13" s="37">
        <f>('Previsionnel_Membres'!C13*'Modele_Actuariel'!$H$19+'Previsionnel_Membres'!D13*'Modele_Actuariel'!$I$19+'Previsionnel_Membres'!E13*'Modele_Actuariel'!$J$19)/12</f>
        <v/>
      </c>
      <c r="H13" s="37">
        <f>SUM(Hypotheses!$B$17:$B$20)+'Previsionnel_Membres'!F13*Hypotheses!$B$15</f>
        <v/>
      </c>
      <c r="I13" s="53">
        <f>F13-G13-H13</f>
        <v/>
      </c>
      <c r="J13" s="37">
        <f>J12+I13</f>
        <v/>
      </c>
    </row>
    <row r="14">
      <c r="A14" s="33" t="inlineStr">
        <is>
          <t>Mois 11</t>
        </is>
      </c>
      <c r="B14" s="49">
        <f>'Previsionnel_Membres'!B14</f>
        <v/>
      </c>
      <c r="C14" s="51">
        <f>('Previsionnel_Membres'!C14*Hypotheses!$B$4+'Previsionnel_Membres'!D14*Hypotheses!$B$5+'Previsionnel_Membres'!E14*Hypotheses!$B$6)/12</f>
        <v/>
      </c>
      <c r="D14" s="51">
        <f>'Previsionnel_Membres'!F14*Hypotheses!$B$12</f>
        <v/>
      </c>
      <c r="E14" s="51">
        <f>('Previsionnel_Membres'!C14*'Modele_Actuariel'!$K$19+'Previsionnel_Membres'!D14*'Modele_Actuariel'!$L$19+'Previsionnel_Membres'!E14*'Modele_Actuariel'!$M$19)/12*Hypotheses!$B$14</f>
        <v/>
      </c>
      <c r="F14" s="51">
        <f>SUM(C14:E14)</f>
        <v/>
      </c>
      <c r="G14" s="51">
        <f>('Previsionnel_Membres'!C14*'Modele_Actuariel'!$H$19+'Previsionnel_Membres'!D14*'Modele_Actuariel'!$I$19+'Previsionnel_Membres'!E14*'Modele_Actuariel'!$J$19)/12</f>
        <v/>
      </c>
      <c r="H14" s="51">
        <f>SUM(Hypotheses!$B$17:$B$20)+'Previsionnel_Membres'!F14*Hypotheses!$B$15</f>
        <v/>
      </c>
      <c r="I14" s="52">
        <f>F14-G14-H14</f>
        <v/>
      </c>
      <c r="J14" s="51">
        <f>J13+I14</f>
        <v/>
      </c>
    </row>
    <row r="15">
      <c r="A15" s="38" t="inlineStr">
        <is>
          <t>Mois 12</t>
        </is>
      </c>
      <c r="B15" s="50">
        <f>'Previsionnel_Membres'!B15</f>
        <v/>
      </c>
      <c r="C15" s="37">
        <f>('Previsionnel_Membres'!C15*Hypotheses!$B$4+'Previsionnel_Membres'!D15*Hypotheses!$B$5+'Previsionnel_Membres'!E15*Hypotheses!$B$6)/12</f>
        <v/>
      </c>
      <c r="D15" s="37">
        <f>'Previsionnel_Membres'!F15*Hypotheses!$B$12</f>
        <v/>
      </c>
      <c r="E15" s="37">
        <f>('Previsionnel_Membres'!C15*'Modele_Actuariel'!$K$19+'Previsionnel_Membres'!D15*'Modele_Actuariel'!$L$19+'Previsionnel_Membres'!E15*'Modele_Actuariel'!$M$19)/12*Hypotheses!$B$14</f>
        <v/>
      </c>
      <c r="F15" s="37">
        <f>SUM(C15:E15)</f>
        <v/>
      </c>
      <c r="G15" s="37">
        <f>('Previsionnel_Membres'!C15*'Modele_Actuariel'!$H$19+'Previsionnel_Membres'!D15*'Modele_Actuariel'!$I$19+'Previsionnel_Membres'!E15*'Modele_Actuariel'!$J$19)/12</f>
        <v/>
      </c>
      <c r="H15" s="37">
        <f>SUM(Hypotheses!$B$17:$B$20)+'Previsionnel_Membres'!F15*Hypotheses!$B$15</f>
        <v/>
      </c>
      <c r="I15" s="53">
        <f>F15-G15-H15</f>
        <v/>
      </c>
      <c r="J15" s="37">
        <f>J14+I15</f>
        <v/>
      </c>
    </row>
    <row r="16">
      <c r="A16" s="33" t="inlineStr">
        <is>
          <t>Mois 13</t>
        </is>
      </c>
      <c r="B16" s="49">
        <f>'Previsionnel_Membres'!B16</f>
        <v/>
      </c>
      <c r="C16" s="51">
        <f>('Previsionnel_Membres'!C16*Hypotheses!$B$4+'Previsionnel_Membres'!D16*Hypotheses!$B$5+'Previsionnel_Membres'!E16*Hypotheses!$B$6)/12</f>
        <v/>
      </c>
      <c r="D16" s="51">
        <f>'Previsionnel_Membres'!F16*Hypotheses!$B$12</f>
        <v/>
      </c>
      <c r="E16" s="51">
        <f>('Previsionnel_Membres'!C16*'Modele_Actuariel'!$K$19+'Previsionnel_Membres'!D16*'Modele_Actuariel'!$L$19+'Previsionnel_Membres'!E16*'Modele_Actuariel'!$M$19)/12*Hypotheses!$B$14</f>
        <v/>
      </c>
      <c r="F16" s="51">
        <f>SUM(C16:E16)</f>
        <v/>
      </c>
      <c r="G16" s="51">
        <f>('Previsionnel_Membres'!C16*'Modele_Actuariel'!$H$19+'Previsionnel_Membres'!D16*'Modele_Actuariel'!$I$19+'Previsionnel_Membres'!E16*'Modele_Actuariel'!$J$19)/12</f>
        <v/>
      </c>
      <c r="H16" s="51">
        <f>SUM(Hypotheses!$B$17:$B$20)+'Previsionnel_Membres'!F16*Hypotheses!$B$15</f>
        <v/>
      </c>
      <c r="I16" s="52">
        <f>F16-G16-H16</f>
        <v/>
      </c>
      <c r="J16" s="51">
        <f>J15+I16</f>
        <v/>
      </c>
    </row>
    <row r="17">
      <c r="A17" s="38" t="inlineStr">
        <is>
          <t>Mois 14</t>
        </is>
      </c>
      <c r="B17" s="50">
        <f>'Previsionnel_Membres'!B17</f>
        <v/>
      </c>
      <c r="C17" s="37">
        <f>('Previsionnel_Membres'!C17*Hypotheses!$B$4+'Previsionnel_Membres'!D17*Hypotheses!$B$5+'Previsionnel_Membres'!E17*Hypotheses!$B$6)/12</f>
        <v/>
      </c>
      <c r="D17" s="37">
        <f>'Previsionnel_Membres'!F17*Hypotheses!$B$12</f>
        <v/>
      </c>
      <c r="E17" s="37">
        <f>('Previsionnel_Membres'!C17*'Modele_Actuariel'!$K$19+'Previsionnel_Membres'!D17*'Modele_Actuariel'!$L$19+'Previsionnel_Membres'!E17*'Modele_Actuariel'!$M$19)/12*Hypotheses!$B$14</f>
        <v/>
      </c>
      <c r="F17" s="37">
        <f>SUM(C17:E17)</f>
        <v/>
      </c>
      <c r="G17" s="37">
        <f>('Previsionnel_Membres'!C17*'Modele_Actuariel'!$H$19+'Previsionnel_Membres'!D17*'Modele_Actuariel'!$I$19+'Previsionnel_Membres'!E17*'Modele_Actuariel'!$J$19)/12</f>
        <v/>
      </c>
      <c r="H17" s="37">
        <f>SUM(Hypotheses!$B$17:$B$20)+'Previsionnel_Membres'!F17*Hypotheses!$B$15</f>
        <v/>
      </c>
      <c r="I17" s="53">
        <f>F17-G17-H17</f>
        <v/>
      </c>
      <c r="J17" s="37">
        <f>J16+I17</f>
        <v/>
      </c>
    </row>
    <row r="18">
      <c r="A18" s="33" t="inlineStr">
        <is>
          <t>Mois 15</t>
        </is>
      </c>
      <c r="B18" s="49">
        <f>'Previsionnel_Membres'!B18</f>
        <v/>
      </c>
      <c r="C18" s="51">
        <f>('Previsionnel_Membres'!C18*Hypotheses!$B$4+'Previsionnel_Membres'!D18*Hypotheses!$B$5+'Previsionnel_Membres'!E18*Hypotheses!$B$6)/12</f>
        <v/>
      </c>
      <c r="D18" s="51">
        <f>'Previsionnel_Membres'!F18*Hypotheses!$B$12</f>
        <v/>
      </c>
      <c r="E18" s="51">
        <f>('Previsionnel_Membres'!C18*'Modele_Actuariel'!$K$19+'Previsionnel_Membres'!D18*'Modele_Actuariel'!$L$19+'Previsionnel_Membres'!E18*'Modele_Actuariel'!$M$19)/12*Hypotheses!$B$14</f>
        <v/>
      </c>
      <c r="F18" s="51">
        <f>SUM(C18:E18)</f>
        <v/>
      </c>
      <c r="G18" s="51">
        <f>('Previsionnel_Membres'!C18*'Modele_Actuariel'!$H$19+'Previsionnel_Membres'!D18*'Modele_Actuariel'!$I$19+'Previsionnel_Membres'!E18*'Modele_Actuariel'!$J$19)/12</f>
        <v/>
      </c>
      <c r="H18" s="51">
        <f>SUM(Hypotheses!$B$17:$B$20)+'Previsionnel_Membres'!F18*Hypotheses!$B$15</f>
        <v/>
      </c>
      <c r="I18" s="52">
        <f>F18-G18-H18</f>
        <v/>
      </c>
      <c r="J18" s="51">
        <f>J17+I18</f>
        <v/>
      </c>
    </row>
    <row r="19">
      <c r="A19" s="38" t="inlineStr">
        <is>
          <t>Mois 16</t>
        </is>
      </c>
      <c r="B19" s="50">
        <f>'Previsionnel_Membres'!B19</f>
        <v/>
      </c>
      <c r="C19" s="37">
        <f>('Previsionnel_Membres'!C19*Hypotheses!$B$4+'Previsionnel_Membres'!D19*Hypotheses!$B$5+'Previsionnel_Membres'!E19*Hypotheses!$B$6)/12</f>
        <v/>
      </c>
      <c r="D19" s="37">
        <f>'Previsionnel_Membres'!F19*Hypotheses!$B$12</f>
        <v/>
      </c>
      <c r="E19" s="37">
        <f>('Previsionnel_Membres'!C19*'Modele_Actuariel'!$K$19+'Previsionnel_Membres'!D19*'Modele_Actuariel'!$L$19+'Previsionnel_Membres'!E19*'Modele_Actuariel'!$M$19)/12*Hypotheses!$B$14</f>
        <v/>
      </c>
      <c r="F19" s="37">
        <f>SUM(C19:E19)</f>
        <v/>
      </c>
      <c r="G19" s="37">
        <f>('Previsionnel_Membres'!C19*'Modele_Actuariel'!$H$19+'Previsionnel_Membres'!D19*'Modele_Actuariel'!$I$19+'Previsionnel_Membres'!E19*'Modele_Actuariel'!$J$19)/12</f>
        <v/>
      </c>
      <c r="H19" s="37">
        <f>SUM(Hypotheses!$B$17:$B$20)+'Previsionnel_Membres'!F19*Hypotheses!$B$15</f>
        <v/>
      </c>
      <c r="I19" s="53">
        <f>F19-G19-H19</f>
        <v/>
      </c>
      <c r="J19" s="37">
        <f>J18+I19</f>
        <v/>
      </c>
    </row>
    <row r="20">
      <c r="A20" s="33" t="inlineStr">
        <is>
          <t>Mois 17</t>
        </is>
      </c>
      <c r="B20" s="49">
        <f>'Previsionnel_Membres'!B20</f>
        <v/>
      </c>
      <c r="C20" s="51">
        <f>('Previsionnel_Membres'!C20*Hypotheses!$B$4+'Previsionnel_Membres'!D20*Hypotheses!$B$5+'Previsionnel_Membres'!E20*Hypotheses!$B$6)/12</f>
        <v/>
      </c>
      <c r="D20" s="51">
        <f>'Previsionnel_Membres'!F20*Hypotheses!$B$12</f>
        <v/>
      </c>
      <c r="E20" s="51">
        <f>('Previsionnel_Membres'!C20*'Modele_Actuariel'!$K$19+'Previsionnel_Membres'!D20*'Modele_Actuariel'!$L$19+'Previsionnel_Membres'!E20*'Modele_Actuariel'!$M$19)/12*Hypotheses!$B$14</f>
        <v/>
      </c>
      <c r="F20" s="51">
        <f>SUM(C20:E20)</f>
        <v/>
      </c>
      <c r="G20" s="51">
        <f>('Previsionnel_Membres'!C20*'Modele_Actuariel'!$H$19+'Previsionnel_Membres'!D20*'Modele_Actuariel'!$I$19+'Previsionnel_Membres'!E20*'Modele_Actuariel'!$J$19)/12</f>
        <v/>
      </c>
      <c r="H20" s="51">
        <f>SUM(Hypotheses!$B$17:$B$20)+'Previsionnel_Membres'!F20*Hypotheses!$B$15</f>
        <v/>
      </c>
      <c r="I20" s="52">
        <f>F20-G20-H20</f>
        <v/>
      </c>
      <c r="J20" s="51">
        <f>J19+I20</f>
        <v/>
      </c>
    </row>
    <row r="21">
      <c r="A21" s="38" t="inlineStr">
        <is>
          <t>Mois 18</t>
        </is>
      </c>
      <c r="B21" s="50">
        <f>'Previsionnel_Membres'!B21</f>
        <v/>
      </c>
      <c r="C21" s="37">
        <f>('Previsionnel_Membres'!C21*Hypotheses!$B$4+'Previsionnel_Membres'!D21*Hypotheses!$B$5+'Previsionnel_Membres'!E21*Hypotheses!$B$6)/12</f>
        <v/>
      </c>
      <c r="D21" s="37">
        <f>'Previsionnel_Membres'!F21*Hypotheses!$B$12</f>
        <v/>
      </c>
      <c r="E21" s="37">
        <f>('Previsionnel_Membres'!C21*'Modele_Actuariel'!$K$19+'Previsionnel_Membres'!D21*'Modele_Actuariel'!$L$19+'Previsionnel_Membres'!E21*'Modele_Actuariel'!$M$19)/12*Hypotheses!$B$14</f>
        <v/>
      </c>
      <c r="F21" s="37">
        <f>SUM(C21:E21)</f>
        <v/>
      </c>
      <c r="G21" s="37">
        <f>('Previsionnel_Membres'!C21*'Modele_Actuariel'!$H$19+'Previsionnel_Membres'!D21*'Modele_Actuariel'!$I$19+'Previsionnel_Membres'!E21*'Modele_Actuariel'!$J$19)/12</f>
        <v/>
      </c>
      <c r="H21" s="37">
        <f>SUM(Hypotheses!$B$17:$B$20)+'Previsionnel_Membres'!F21*Hypotheses!$B$15</f>
        <v/>
      </c>
      <c r="I21" s="53">
        <f>F21-G21-H21</f>
        <v/>
      </c>
      <c r="J21" s="37">
        <f>J20+I21</f>
        <v/>
      </c>
    </row>
    <row r="22">
      <c r="A22" s="33" t="inlineStr">
        <is>
          <t>Mois 19</t>
        </is>
      </c>
      <c r="B22" s="49">
        <f>'Previsionnel_Membres'!B22</f>
        <v/>
      </c>
      <c r="C22" s="51">
        <f>('Previsionnel_Membres'!C22*Hypotheses!$B$4+'Previsionnel_Membres'!D22*Hypotheses!$B$5+'Previsionnel_Membres'!E22*Hypotheses!$B$6)/12</f>
        <v/>
      </c>
      <c r="D22" s="51">
        <f>'Previsionnel_Membres'!F22*Hypotheses!$B$12</f>
        <v/>
      </c>
      <c r="E22" s="51">
        <f>('Previsionnel_Membres'!C22*'Modele_Actuariel'!$K$19+'Previsionnel_Membres'!D22*'Modele_Actuariel'!$L$19+'Previsionnel_Membres'!E22*'Modele_Actuariel'!$M$19)/12*Hypotheses!$B$14</f>
        <v/>
      </c>
      <c r="F22" s="51">
        <f>SUM(C22:E22)</f>
        <v/>
      </c>
      <c r="G22" s="51">
        <f>('Previsionnel_Membres'!C22*'Modele_Actuariel'!$H$19+'Previsionnel_Membres'!D22*'Modele_Actuariel'!$I$19+'Previsionnel_Membres'!E22*'Modele_Actuariel'!$J$19)/12</f>
        <v/>
      </c>
      <c r="H22" s="51">
        <f>SUM(Hypotheses!$B$17:$B$20)+'Previsionnel_Membres'!F22*Hypotheses!$B$15</f>
        <v/>
      </c>
      <c r="I22" s="52">
        <f>F22-G22-H22</f>
        <v/>
      </c>
      <c r="J22" s="51">
        <f>J21+I22</f>
        <v/>
      </c>
    </row>
    <row r="23">
      <c r="A23" s="38" t="inlineStr">
        <is>
          <t>Mois 20</t>
        </is>
      </c>
      <c r="B23" s="50">
        <f>'Previsionnel_Membres'!B23</f>
        <v/>
      </c>
      <c r="C23" s="37">
        <f>('Previsionnel_Membres'!C23*Hypotheses!$B$4+'Previsionnel_Membres'!D23*Hypotheses!$B$5+'Previsionnel_Membres'!E23*Hypotheses!$B$6)/12</f>
        <v/>
      </c>
      <c r="D23" s="37">
        <f>'Previsionnel_Membres'!F23*Hypotheses!$B$12</f>
        <v/>
      </c>
      <c r="E23" s="37">
        <f>('Previsionnel_Membres'!C23*'Modele_Actuariel'!$K$19+'Previsionnel_Membres'!D23*'Modele_Actuariel'!$L$19+'Previsionnel_Membres'!E23*'Modele_Actuariel'!$M$19)/12*Hypotheses!$B$14</f>
        <v/>
      </c>
      <c r="F23" s="37">
        <f>SUM(C23:E23)</f>
        <v/>
      </c>
      <c r="G23" s="37">
        <f>('Previsionnel_Membres'!C23*'Modele_Actuariel'!$H$19+'Previsionnel_Membres'!D23*'Modele_Actuariel'!$I$19+'Previsionnel_Membres'!E23*'Modele_Actuariel'!$J$19)/12</f>
        <v/>
      </c>
      <c r="H23" s="37">
        <f>SUM(Hypotheses!$B$17:$B$20)+'Previsionnel_Membres'!F23*Hypotheses!$B$15</f>
        <v/>
      </c>
      <c r="I23" s="53">
        <f>F23-G23-H23</f>
        <v/>
      </c>
      <c r="J23" s="37">
        <f>J22+I23</f>
        <v/>
      </c>
    </row>
    <row r="24">
      <c r="A24" s="33" t="inlineStr">
        <is>
          <t>Mois 21</t>
        </is>
      </c>
      <c r="B24" s="49">
        <f>'Previsionnel_Membres'!B24</f>
        <v/>
      </c>
      <c r="C24" s="51">
        <f>('Previsionnel_Membres'!C24*Hypotheses!$B$4+'Previsionnel_Membres'!D24*Hypotheses!$B$5+'Previsionnel_Membres'!E24*Hypotheses!$B$6)/12</f>
        <v/>
      </c>
      <c r="D24" s="51">
        <f>'Previsionnel_Membres'!F24*Hypotheses!$B$12</f>
        <v/>
      </c>
      <c r="E24" s="51">
        <f>('Previsionnel_Membres'!C24*'Modele_Actuariel'!$K$19+'Previsionnel_Membres'!D24*'Modele_Actuariel'!$L$19+'Previsionnel_Membres'!E24*'Modele_Actuariel'!$M$19)/12*Hypotheses!$B$14</f>
        <v/>
      </c>
      <c r="F24" s="51">
        <f>SUM(C24:E24)</f>
        <v/>
      </c>
      <c r="G24" s="51">
        <f>('Previsionnel_Membres'!C24*'Modele_Actuariel'!$H$19+'Previsionnel_Membres'!D24*'Modele_Actuariel'!$I$19+'Previsionnel_Membres'!E24*'Modele_Actuariel'!$J$19)/12</f>
        <v/>
      </c>
      <c r="H24" s="51">
        <f>SUM(Hypotheses!$B$17:$B$20)+'Previsionnel_Membres'!F24*Hypotheses!$B$15</f>
        <v/>
      </c>
      <c r="I24" s="52">
        <f>F24-G24-H24</f>
        <v/>
      </c>
      <c r="J24" s="51">
        <f>J23+I24</f>
        <v/>
      </c>
    </row>
    <row r="25">
      <c r="A25" s="38" t="inlineStr">
        <is>
          <t>Mois 22</t>
        </is>
      </c>
      <c r="B25" s="50">
        <f>'Previsionnel_Membres'!B25</f>
        <v/>
      </c>
      <c r="C25" s="37">
        <f>('Previsionnel_Membres'!C25*Hypotheses!$B$4+'Previsionnel_Membres'!D25*Hypotheses!$B$5+'Previsionnel_Membres'!E25*Hypotheses!$B$6)/12</f>
        <v/>
      </c>
      <c r="D25" s="37">
        <f>'Previsionnel_Membres'!F25*Hypotheses!$B$12</f>
        <v/>
      </c>
      <c r="E25" s="37">
        <f>('Previsionnel_Membres'!C25*'Modele_Actuariel'!$K$19+'Previsionnel_Membres'!D25*'Modele_Actuariel'!$L$19+'Previsionnel_Membres'!E25*'Modele_Actuariel'!$M$19)/12*Hypotheses!$B$14</f>
        <v/>
      </c>
      <c r="F25" s="37">
        <f>SUM(C25:E25)</f>
        <v/>
      </c>
      <c r="G25" s="37">
        <f>('Previsionnel_Membres'!C25*'Modele_Actuariel'!$H$19+'Previsionnel_Membres'!D25*'Modele_Actuariel'!$I$19+'Previsionnel_Membres'!E25*'Modele_Actuariel'!$J$19)/12</f>
        <v/>
      </c>
      <c r="H25" s="37">
        <f>SUM(Hypotheses!$B$17:$B$20)+'Previsionnel_Membres'!F25*Hypotheses!$B$15</f>
        <v/>
      </c>
      <c r="I25" s="53">
        <f>F25-G25-H25</f>
        <v/>
      </c>
      <c r="J25" s="37">
        <f>J24+I25</f>
        <v/>
      </c>
    </row>
    <row r="26">
      <c r="A26" s="33" t="inlineStr">
        <is>
          <t>Mois 23</t>
        </is>
      </c>
      <c r="B26" s="49">
        <f>'Previsionnel_Membres'!B26</f>
        <v/>
      </c>
      <c r="C26" s="51">
        <f>('Previsionnel_Membres'!C26*Hypotheses!$B$4+'Previsionnel_Membres'!D26*Hypotheses!$B$5+'Previsionnel_Membres'!E26*Hypotheses!$B$6)/12</f>
        <v/>
      </c>
      <c r="D26" s="51">
        <f>'Previsionnel_Membres'!F26*Hypotheses!$B$12</f>
        <v/>
      </c>
      <c r="E26" s="51">
        <f>('Previsionnel_Membres'!C26*'Modele_Actuariel'!$K$19+'Previsionnel_Membres'!D26*'Modele_Actuariel'!$L$19+'Previsionnel_Membres'!E26*'Modele_Actuariel'!$M$19)/12*Hypotheses!$B$14</f>
        <v/>
      </c>
      <c r="F26" s="51">
        <f>SUM(C26:E26)</f>
        <v/>
      </c>
      <c r="G26" s="51">
        <f>('Previsionnel_Membres'!C26*'Modele_Actuariel'!$H$19+'Previsionnel_Membres'!D26*'Modele_Actuariel'!$I$19+'Previsionnel_Membres'!E26*'Modele_Actuariel'!$J$19)/12</f>
        <v/>
      </c>
      <c r="H26" s="51">
        <f>SUM(Hypotheses!$B$17:$B$20)+'Previsionnel_Membres'!F26*Hypotheses!$B$15</f>
        <v/>
      </c>
      <c r="I26" s="52">
        <f>F26-G26-H26</f>
        <v/>
      </c>
      <c r="J26" s="51">
        <f>J25+I26</f>
        <v/>
      </c>
    </row>
    <row r="27">
      <c r="A27" s="38" t="inlineStr">
        <is>
          <t>Mois 24</t>
        </is>
      </c>
      <c r="B27" s="50">
        <f>'Previsionnel_Membres'!B27</f>
        <v/>
      </c>
      <c r="C27" s="37">
        <f>('Previsionnel_Membres'!C27*Hypotheses!$B$4+'Previsionnel_Membres'!D27*Hypotheses!$B$5+'Previsionnel_Membres'!E27*Hypotheses!$B$6)/12</f>
        <v/>
      </c>
      <c r="D27" s="37">
        <f>'Previsionnel_Membres'!F27*Hypotheses!$B$12</f>
        <v/>
      </c>
      <c r="E27" s="37">
        <f>('Previsionnel_Membres'!C27*'Modele_Actuariel'!$K$19+'Previsionnel_Membres'!D27*'Modele_Actuariel'!$L$19+'Previsionnel_Membres'!E27*'Modele_Actuariel'!$M$19)/12*Hypotheses!$B$14</f>
        <v/>
      </c>
      <c r="F27" s="37">
        <f>SUM(C27:E27)</f>
        <v/>
      </c>
      <c r="G27" s="37">
        <f>('Previsionnel_Membres'!C27*'Modele_Actuariel'!$H$19+'Previsionnel_Membres'!D27*'Modele_Actuariel'!$I$19+'Previsionnel_Membres'!E27*'Modele_Actuariel'!$J$19)/12</f>
        <v/>
      </c>
      <c r="H27" s="37">
        <f>SUM(Hypotheses!$B$17:$B$20)+'Previsionnel_Membres'!F27*Hypotheses!$B$15</f>
        <v/>
      </c>
      <c r="I27" s="53">
        <f>F27-G27-H27</f>
        <v/>
      </c>
      <c r="J27" s="37">
        <f>J26+I27</f>
        <v/>
      </c>
    </row>
    <row r="28">
      <c r="A28" s="33" t="inlineStr">
        <is>
          <t>Mois 25</t>
        </is>
      </c>
      <c r="B28" s="49">
        <f>'Previsionnel_Membres'!B28</f>
        <v/>
      </c>
      <c r="C28" s="51">
        <f>('Previsionnel_Membres'!C28*Hypotheses!$B$4+'Previsionnel_Membres'!D28*Hypotheses!$B$5+'Previsionnel_Membres'!E28*Hypotheses!$B$6)/12</f>
        <v/>
      </c>
      <c r="D28" s="51">
        <f>'Previsionnel_Membres'!F28*Hypotheses!$B$12</f>
        <v/>
      </c>
      <c r="E28" s="51">
        <f>('Previsionnel_Membres'!C28*'Modele_Actuariel'!$K$19+'Previsionnel_Membres'!D28*'Modele_Actuariel'!$L$19+'Previsionnel_Membres'!E28*'Modele_Actuariel'!$M$19)/12*Hypotheses!$B$14</f>
        <v/>
      </c>
      <c r="F28" s="51">
        <f>SUM(C28:E28)</f>
        <v/>
      </c>
      <c r="G28" s="51">
        <f>('Previsionnel_Membres'!C28*'Modele_Actuariel'!$H$19+'Previsionnel_Membres'!D28*'Modele_Actuariel'!$I$19+'Previsionnel_Membres'!E28*'Modele_Actuariel'!$J$19)/12</f>
        <v/>
      </c>
      <c r="H28" s="51">
        <f>SUM(Hypotheses!$B$17:$B$20)+'Previsionnel_Membres'!F28*Hypotheses!$B$15</f>
        <v/>
      </c>
      <c r="I28" s="52">
        <f>F28-G28-H28</f>
        <v/>
      </c>
      <c r="J28" s="51">
        <f>J27+I28</f>
        <v/>
      </c>
    </row>
    <row r="29">
      <c r="A29" s="38" t="inlineStr">
        <is>
          <t>Mois 26</t>
        </is>
      </c>
      <c r="B29" s="50">
        <f>'Previsionnel_Membres'!B29</f>
        <v/>
      </c>
      <c r="C29" s="37">
        <f>('Previsionnel_Membres'!C29*Hypotheses!$B$4+'Previsionnel_Membres'!D29*Hypotheses!$B$5+'Previsionnel_Membres'!E29*Hypotheses!$B$6)/12</f>
        <v/>
      </c>
      <c r="D29" s="37">
        <f>'Previsionnel_Membres'!F29*Hypotheses!$B$12</f>
        <v/>
      </c>
      <c r="E29" s="37">
        <f>('Previsionnel_Membres'!C29*'Modele_Actuariel'!$K$19+'Previsionnel_Membres'!D29*'Modele_Actuariel'!$L$19+'Previsionnel_Membres'!E29*'Modele_Actuariel'!$M$19)/12*Hypotheses!$B$14</f>
        <v/>
      </c>
      <c r="F29" s="37">
        <f>SUM(C29:E29)</f>
        <v/>
      </c>
      <c r="G29" s="37">
        <f>('Previsionnel_Membres'!C29*'Modele_Actuariel'!$H$19+'Previsionnel_Membres'!D29*'Modele_Actuariel'!$I$19+'Previsionnel_Membres'!E29*'Modele_Actuariel'!$J$19)/12</f>
        <v/>
      </c>
      <c r="H29" s="37">
        <f>SUM(Hypotheses!$B$17:$B$20)+'Previsionnel_Membres'!F29*Hypotheses!$B$15</f>
        <v/>
      </c>
      <c r="I29" s="53">
        <f>F29-G29-H29</f>
        <v/>
      </c>
      <c r="J29" s="37">
        <f>J28+I29</f>
        <v/>
      </c>
    </row>
    <row r="30">
      <c r="A30" s="33" t="inlineStr">
        <is>
          <t>Mois 27</t>
        </is>
      </c>
      <c r="B30" s="49">
        <f>'Previsionnel_Membres'!B30</f>
        <v/>
      </c>
      <c r="C30" s="51">
        <f>('Previsionnel_Membres'!C30*Hypotheses!$B$4+'Previsionnel_Membres'!D30*Hypotheses!$B$5+'Previsionnel_Membres'!E30*Hypotheses!$B$6)/12</f>
        <v/>
      </c>
      <c r="D30" s="51">
        <f>'Previsionnel_Membres'!F30*Hypotheses!$B$12</f>
        <v/>
      </c>
      <c r="E30" s="51">
        <f>('Previsionnel_Membres'!C30*'Modele_Actuariel'!$K$19+'Previsionnel_Membres'!D30*'Modele_Actuariel'!$L$19+'Previsionnel_Membres'!E30*'Modele_Actuariel'!$M$19)/12*Hypotheses!$B$14</f>
        <v/>
      </c>
      <c r="F30" s="51">
        <f>SUM(C30:E30)</f>
        <v/>
      </c>
      <c r="G30" s="51">
        <f>('Previsionnel_Membres'!C30*'Modele_Actuariel'!$H$19+'Previsionnel_Membres'!D30*'Modele_Actuariel'!$I$19+'Previsionnel_Membres'!E30*'Modele_Actuariel'!$J$19)/12</f>
        <v/>
      </c>
      <c r="H30" s="51">
        <f>SUM(Hypotheses!$B$17:$B$20)+'Previsionnel_Membres'!F30*Hypotheses!$B$15</f>
        <v/>
      </c>
      <c r="I30" s="52">
        <f>F30-G30-H30</f>
        <v/>
      </c>
      <c r="J30" s="51">
        <f>J29+I30</f>
        <v/>
      </c>
    </row>
    <row r="31">
      <c r="A31" s="38" t="inlineStr">
        <is>
          <t>Mois 28</t>
        </is>
      </c>
      <c r="B31" s="50">
        <f>'Previsionnel_Membres'!B31</f>
        <v/>
      </c>
      <c r="C31" s="37">
        <f>('Previsionnel_Membres'!C31*Hypotheses!$B$4+'Previsionnel_Membres'!D31*Hypotheses!$B$5+'Previsionnel_Membres'!E31*Hypotheses!$B$6)/12</f>
        <v/>
      </c>
      <c r="D31" s="37">
        <f>'Previsionnel_Membres'!F31*Hypotheses!$B$12</f>
        <v/>
      </c>
      <c r="E31" s="37">
        <f>('Previsionnel_Membres'!C31*'Modele_Actuariel'!$K$19+'Previsionnel_Membres'!D31*'Modele_Actuariel'!$L$19+'Previsionnel_Membres'!E31*'Modele_Actuariel'!$M$19)/12*Hypotheses!$B$14</f>
        <v/>
      </c>
      <c r="F31" s="37">
        <f>SUM(C31:E31)</f>
        <v/>
      </c>
      <c r="G31" s="37">
        <f>('Previsionnel_Membres'!C31*'Modele_Actuariel'!$H$19+'Previsionnel_Membres'!D31*'Modele_Actuariel'!$I$19+'Previsionnel_Membres'!E31*'Modele_Actuariel'!$J$19)/12</f>
        <v/>
      </c>
      <c r="H31" s="37">
        <f>SUM(Hypotheses!$B$17:$B$20)+'Previsionnel_Membres'!F31*Hypotheses!$B$15</f>
        <v/>
      </c>
      <c r="I31" s="53">
        <f>F31-G31-H31</f>
        <v/>
      </c>
      <c r="J31" s="37">
        <f>J30+I31</f>
        <v/>
      </c>
    </row>
    <row r="32">
      <c r="A32" s="33" t="inlineStr">
        <is>
          <t>Mois 29</t>
        </is>
      </c>
      <c r="B32" s="49">
        <f>'Previsionnel_Membres'!B32</f>
        <v/>
      </c>
      <c r="C32" s="51">
        <f>('Previsionnel_Membres'!C32*Hypotheses!$B$4+'Previsionnel_Membres'!D32*Hypotheses!$B$5+'Previsionnel_Membres'!E32*Hypotheses!$B$6)/12</f>
        <v/>
      </c>
      <c r="D32" s="51">
        <f>'Previsionnel_Membres'!F32*Hypotheses!$B$12</f>
        <v/>
      </c>
      <c r="E32" s="51">
        <f>('Previsionnel_Membres'!C32*'Modele_Actuariel'!$K$19+'Previsionnel_Membres'!D32*'Modele_Actuariel'!$L$19+'Previsionnel_Membres'!E32*'Modele_Actuariel'!$M$19)/12*Hypotheses!$B$14</f>
        <v/>
      </c>
      <c r="F32" s="51">
        <f>SUM(C32:E32)</f>
        <v/>
      </c>
      <c r="G32" s="51">
        <f>('Previsionnel_Membres'!C32*'Modele_Actuariel'!$H$19+'Previsionnel_Membres'!D32*'Modele_Actuariel'!$I$19+'Previsionnel_Membres'!E32*'Modele_Actuariel'!$J$19)/12</f>
        <v/>
      </c>
      <c r="H32" s="51">
        <f>SUM(Hypotheses!$B$17:$B$20)+'Previsionnel_Membres'!F32*Hypotheses!$B$15</f>
        <v/>
      </c>
      <c r="I32" s="52">
        <f>F32-G32-H32</f>
        <v/>
      </c>
      <c r="J32" s="51">
        <f>J31+I32</f>
        <v/>
      </c>
    </row>
    <row r="33">
      <c r="A33" s="38" t="inlineStr">
        <is>
          <t>Mois 30</t>
        </is>
      </c>
      <c r="B33" s="50">
        <f>'Previsionnel_Membres'!B33</f>
        <v/>
      </c>
      <c r="C33" s="37">
        <f>('Previsionnel_Membres'!C33*Hypotheses!$B$4+'Previsionnel_Membres'!D33*Hypotheses!$B$5+'Previsionnel_Membres'!E33*Hypotheses!$B$6)/12</f>
        <v/>
      </c>
      <c r="D33" s="37">
        <f>'Previsionnel_Membres'!F33*Hypotheses!$B$12</f>
        <v/>
      </c>
      <c r="E33" s="37">
        <f>('Previsionnel_Membres'!C33*'Modele_Actuariel'!$K$19+'Previsionnel_Membres'!D33*'Modele_Actuariel'!$L$19+'Previsionnel_Membres'!E33*'Modele_Actuariel'!$M$19)/12*Hypotheses!$B$14</f>
        <v/>
      </c>
      <c r="F33" s="37">
        <f>SUM(C33:E33)</f>
        <v/>
      </c>
      <c r="G33" s="37">
        <f>('Previsionnel_Membres'!C33*'Modele_Actuariel'!$H$19+'Previsionnel_Membres'!D33*'Modele_Actuariel'!$I$19+'Previsionnel_Membres'!E33*'Modele_Actuariel'!$J$19)/12</f>
        <v/>
      </c>
      <c r="H33" s="37">
        <f>SUM(Hypotheses!$B$17:$B$20)+'Previsionnel_Membres'!F33*Hypotheses!$B$15</f>
        <v/>
      </c>
      <c r="I33" s="53">
        <f>F33-G33-H33</f>
        <v/>
      </c>
      <c r="J33" s="37">
        <f>J32+I33</f>
        <v/>
      </c>
    </row>
    <row r="34">
      <c r="A34" s="33" t="inlineStr">
        <is>
          <t>Mois 31</t>
        </is>
      </c>
      <c r="B34" s="49">
        <f>'Previsionnel_Membres'!B34</f>
        <v/>
      </c>
      <c r="C34" s="51">
        <f>('Previsionnel_Membres'!C34*Hypotheses!$B$4+'Previsionnel_Membres'!D34*Hypotheses!$B$5+'Previsionnel_Membres'!E34*Hypotheses!$B$6)/12</f>
        <v/>
      </c>
      <c r="D34" s="51">
        <f>'Previsionnel_Membres'!F34*Hypotheses!$B$12</f>
        <v/>
      </c>
      <c r="E34" s="51">
        <f>('Previsionnel_Membres'!C34*'Modele_Actuariel'!$K$19+'Previsionnel_Membres'!D34*'Modele_Actuariel'!$L$19+'Previsionnel_Membres'!E34*'Modele_Actuariel'!$M$19)/12*Hypotheses!$B$14</f>
        <v/>
      </c>
      <c r="F34" s="51">
        <f>SUM(C34:E34)</f>
        <v/>
      </c>
      <c r="G34" s="51">
        <f>('Previsionnel_Membres'!C34*'Modele_Actuariel'!$H$19+'Previsionnel_Membres'!D34*'Modele_Actuariel'!$I$19+'Previsionnel_Membres'!E34*'Modele_Actuariel'!$J$19)/12</f>
        <v/>
      </c>
      <c r="H34" s="51">
        <f>SUM(Hypotheses!$B$17:$B$20)+'Previsionnel_Membres'!F34*Hypotheses!$B$15</f>
        <v/>
      </c>
      <c r="I34" s="52">
        <f>F34-G34-H34</f>
        <v/>
      </c>
      <c r="J34" s="51">
        <f>J33+I34</f>
        <v/>
      </c>
    </row>
    <row r="35">
      <c r="A35" s="38" t="inlineStr">
        <is>
          <t>Mois 32</t>
        </is>
      </c>
      <c r="B35" s="50">
        <f>'Previsionnel_Membres'!B35</f>
        <v/>
      </c>
      <c r="C35" s="37">
        <f>('Previsionnel_Membres'!C35*Hypotheses!$B$4+'Previsionnel_Membres'!D35*Hypotheses!$B$5+'Previsionnel_Membres'!E35*Hypotheses!$B$6)/12</f>
        <v/>
      </c>
      <c r="D35" s="37">
        <f>'Previsionnel_Membres'!F35*Hypotheses!$B$12</f>
        <v/>
      </c>
      <c r="E35" s="37">
        <f>('Previsionnel_Membres'!C35*'Modele_Actuariel'!$K$19+'Previsionnel_Membres'!D35*'Modele_Actuariel'!$L$19+'Previsionnel_Membres'!E35*'Modele_Actuariel'!$M$19)/12*Hypotheses!$B$14</f>
        <v/>
      </c>
      <c r="F35" s="37">
        <f>SUM(C35:E35)</f>
        <v/>
      </c>
      <c r="G35" s="37">
        <f>('Previsionnel_Membres'!C35*'Modele_Actuariel'!$H$19+'Previsionnel_Membres'!D35*'Modele_Actuariel'!$I$19+'Previsionnel_Membres'!E35*'Modele_Actuariel'!$J$19)/12</f>
        <v/>
      </c>
      <c r="H35" s="37">
        <f>SUM(Hypotheses!$B$17:$B$20)+'Previsionnel_Membres'!F35*Hypotheses!$B$15</f>
        <v/>
      </c>
      <c r="I35" s="53">
        <f>F35-G35-H35</f>
        <v/>
      </c>
      <c r="J35" s="37">
        <f>J34+I35</f>
        <v/>
      </c>
    </row>
    <row r="36">
      <c r="A36" s="33" t="inlineStr">
        <is>
          <t>Mois 33</t>
        </is>
      </c>
      <c r="B36" s="49">
        <f>'Previsionnel_Membres'!B36</f>
        <v/>
      </c>
      <c r="C36" s="51">
        <f>('Previsionnel_Membres'!C36*Hypotheses!$B$4+'Previsionnel_Membres'!D36*Hypotheses!$B$5+'Previsionnel_Membres'!E36*Hypotheses!$B$6)/12</f>
        <v/>
      </c>
      <c r="D36" s="51">
        <f>'Previsionnel_Membres'!F36*Hypotheses!$B$12</f>
        <v/>
      </c>
      <c r="E36" s="51">
        <f>('Previsionnel_Membres'!C36*'Modele_Actuariel'!$K$19+'Previsionnel_Membres'!D36*'Modele_Actuariel'!$L$19+'Previsionnel_Membres'!E36*'Modele_Actuariel'!$M$19)/12*Hypotheses!$B$14</f>
        <v/>
      </c>
      <c r="F36" s="51">
        <f>SUM(C36:E36)</f>
        <v/>
      </c>
      <c r="G36" s="51">
        <f>('Previsionnel_Membres'!C36*'Modele_Actuariel'!$H$19+'Previsionnel_Membres'!D36*'Modele_Actuariel'!$I$19+'Previsionnel_Membres'!E36*'Modele_Actuariel'!$J$19)/12</f>
        <v/>
      </c>
      <c r="H36" s="51">
        <f>SUM(Hypotheses!$B$17:$B$20)+'Previsionnel_Membres'!F36*Hypotheses!$B$15</f>
        <v/>
      </c>
      <c r="I36" s="52">
        <f>F36-G36-H36</f>
        <v/>
      </c>
      <c r="J36" s="51">
        <f>J35+I36</f>
        <v/>
      </c>
    </row>
    <row r="37">
      <c r="A37" s="38" t="inlineStr">
        <is>
          <t>Mois 34</t>
        </is>
      </c>
      <c r="B37" s="50">
        <f>'Previsionnel_Membres'!B37</f>
        <v/>
      </c>
      <c r="C37" s="37">
        <f>('Previsionnel_Membres'!C37*Hypotheses!$B$4+'Previsionnel_Membres'!D37*Hypotheses!$B$5+'Previsionnel_Membres'!E37*Hypotheses!$B$6)/12</f>
        <v/>
      </c>
      <c r="D37" s="37">
        <f>'Previsionnel_Membres'!F37*Hypotheses!$B$12</f>
        <v/>
      </c>
      <c r="E37" s="37">
        <f>('Previsionnel_Membres'!C37*'Modele_Actuariel'!$K$19+'Previsionnel_Membres'!D37*'Modele_Actuariel'!$L$19+'Previsionnel_Membres'!E37*'Modele_Actuariel'!$M$19)/12*Hypotheses!$B$14</f>
        <v/>
      </c>
      <c r="F37" s="37">
        <f>SUM(C37:E37)</f>
        <v/>
      </c>
      <c r="G37" s="37">
        <f>('Previsionnel_Membres'!C37*'Modele_Actuariel'!$H$19+'Previsionnel_Membres'!D37*'Modele_Actuariel'!$I$19+'Previsionnel_Membres'!E37*'Modele_Actuariel'!$J$19)/12</f>
        <v/>
      </c>
      <c r="H37" s="37">
        <f>SUM(Hypotheses!$B$17:$B$20)+'Previsionnel_Membres'!F37*Hypotheses!$B$15</f>
        <v/>
      </c>
      <c r="I37" s="53">
        <f>F37-G37-H37</f>
        <v/>
      </c>
      <c r="J37" s="37">
        <f>J36+I37</f>
        <v/>
      </c>
    </row>
    <row r="38">
      <c r="A38" s="33" t="inlineStr">
        <is>
          <t>Mois 35</t>
        </is>
      </c>
      <c r="B38" s="49">
        <f>'Previsionnel_Membres'!B38</f>
        <v/>
      </c>
      <c r="C38" s="51">
        <f>('Previsionnel_Membres'!C38*Hypotheses!$B$4+'Previsionnel_Membres'!D38*Hypotheses!$B$5+'Previsionnel_Membres'!E38*Hypotheses!$B$6)/12</f>
        <v/>
      </c>
      <c r="D38" s="51">
        <f>'Previsionnel_Membres'!F38*Hypotheses!$B$12</f>
        <v/>
      </c>
      <c r="E38" s="51">
        <f>('Previsionnel_Membres'!C38*'Modele_Actuariel'!$K$19+'Previsionnel_Membres'!D38*'Modele_Actuariel'!$L$19+'Previsionnel_Membres'!E38*'Modele_Actuariel'!$M$19)/12*Hypotheses!$B$14</f>
        <v/>
      </c>
      <c r="F38" s="51">
        <f>SUM(C38:E38)</f>
        <v/>
      </c>
      <c r="G38" s="51">
        <f>('Previsionnel_Membres'!C38*'Modele_Actuariel'!$H$19+'Previsionnel_Membres'!D38*'Modele_Actuariel'!$I$19+'Previsionnel_Membres'!E38*'Modele_Actuariel'!$J$19)/12</f>
        <v/>
      </c>
      <c r="H38" s="51">
        <f>SUM(Hypotheses!$B$17:$B$20)+'Previsionnel_Membres'!F38*Hypotheses!$B$15</f>
        <v/>
      </c>
      <c r="I38" s="52">
        <f>F38-G38-H38</f>
        <v/>
      </c>
      <c r="J38" s="51">
        <f>J37+I38</f>
        <v/>
      </c>
    </row>
    <row r="39">
      <c r="A39" s="38" t="inlineStr">
        <is>
          <t>Mois 36</t>
        </is>
      </c>
      <c r="B39" s="50">
        <f>'Previsionnel_Membres'!B39</f>
        <v/>
      </c>
      <c r="C39" s="37">
        <f>('Previsionnel_Membres'!C39*Hypotheses!$B$4+'Previsionnel_Membres'!D39*Hypotheses!$B$5+'Previsionnel_Membres'!E39*Hypotheses!$B$6)/12</f>
        <v/>
      </c>
      <c r="D39" s="37">
        <f>'Previsionnel_Membres'!F39*Hypotheses!$B$12</f>
        <v/>
      </c>
      <c r="E39" s="37">
        <f>('Previsionnel_Membres'!C39*'Modele_Actuariel'!$K$19+'Previsionnel_Membres'!D39*'Modele_Actuariel'!$L$19+'Previsionnel_Membres'!E39*'Modele_Actuariel'!$M$19)/12*Hypotheses!$B$14</f>
        <v/>
      </c>
      <c r="F39" s="37">
        <f>SUM(C39:E39)</f>
        <v/>
      </c>
      <c r="G39" s="37">
        <f>('Previsionnel_Membres'!C39*'Modele_Actuariel'!$H$19+'Previsionnel_Membres'!D39*'Modele_Actuariel'!$I$19+'Previsionnel_Membres'!E39*'Modele_Actuariel'!$J$19)/12</f>
        <v/>
      </c>
      <c r="H39" s="37">
        <f>SUM(Hypotheses!$B$17:$B$20)+'Previsionnel_Membres'!F39*Hypotheses!$B$15</f>
        <v/>
      </c>
      <c r="I39" s="53">
        <f>F39-G39-H39</f>
        <v/>
      </c>
      <c r="J39" s="37">
        <f>J38+I39</f>
        <v/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TABLEAU DE BORD</t>
        </is>
      </c>
    </row>
    <row r="3">
      <c r="B3" s="3" t="inlineStr">
        <is>
          <t>INDICATEURS CLÉS</t>
        </is>
      </c>
    </row>
    <row r="4" ht="20" customHeight="1">
      <c r="B4" s="5" t="inlineStr">
        <is>
          <t>ARR indicatif (abonnements, mois 36 ×12)</t>
        </is>
      </c>
      <c r="E4" s="54">
        <f>'Compte_Resultat'!C39*12</f>
        <v/>
      </c>
    </row>
    <row r="5" ht="20" customHeight="1">
      <c r="B5" s="5" t="inlineStr">
        <is>
          <t>Revenu total — année 3 (mois 25-36)</t>
        </is>
      </c>
      <c r="E5" s="54">
        <f>SUM('Compte_Resultat'!F28:F39)</f>
        <v/>
      </c>
    </row>
    <row r="6" ht="20" customHeight="1">
      <c r="B6" s="5" t="inlineStr">
        <is>
          <t>Résultat cumulé à 36 mois</t>
        </is>
      </c>
      <c r="E6" s="54">
        <f>'Compte_Resultat'!J39</f>
        <v/>
      </c>
    </row>
    <row r="7" ht="20" customHeight="1">
      <c r="B7" s="5" t="inlineStr">
        <is>
          <t>Coût d'acquisition implicite / membre</t>
        </is>
      </c>
      <c r="E7" s="54">
        <f>Hypotheses!B19/ MAX(1,'Previsionnel_Membres'!F39)</f>
        <v/>
      </c>
    </row>
    <row r="8" ht="20" customHeight="1">
      <c r="B8" s="5" t="inlineStr">
        <is>
          <t>Revenu moyen / membre / mois (mois 36)</t>
        </is>
      </c>
      <c r="E8" s="54">
        <f>'Compte_Resultat'!F39/'Compte_Resultat'!B39</f>
        <v/>
      </c>
    </row>
    <row r="9" ht="20" customHeight="1">
      <c r="B9" s="5" t="inlineStr">
        <is>
          <t>Loss ratio moyen pondéré</t>
        </is>
      </c>
      <c r="E9" s="55">
        <f>('Modele_Actuariel'!H19*Hypotheses!B8+'Modele_Actuariel'!I19*Hypotheses!B9+'Modele_Actuariel'!J19*Hypotheses!B10)/(Hypotheses!B4*Hypotheses!B8+Hypotheses!B5*Hypotheses!B9+Hypotheses!B6*Hypotheses!B10)</f>
        <v/>
      </c>
    </row>
  </sheetData>
  <mergeCells count="14">
    <mergeCell ref="E4:F4"/>
    <mergeCell ref="B5:D5"/>
    <mergeCell ref="E6:F6"/>
    <mergeCell ref="E7:F7"/>
    <mergeCell ref="A1:F1"/>
    <mergeCell ref="B8:D8"/>
    <mergeCell ref="B4:D4"/>
    <mergeCell ref="B3:F3"/>
    <mergeCell ref="E5:F5"/>
    <mergeCell ref="B9:D9"/>
    <mergeCell ref="B7:D7"/>
    <mergeCell ref="E9:F9"/>
    <mergeCell ref="B6:D6"/>
    <mergeCell ref="E8:F8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26" customWidth="1" min="4" max="4"/>
  </cols>
  <sheetData>
    <row r="1" ht="30" customHeight="1">
      <c r="A1" s="10" t="inlineStr">
        <is>
          <t>FEUILLE DE ROUTE  —  déploiement en 4 phases</t>
        </is>
      </c>
    </row>
    <row r="3" ht="30" customHeight="1">
      <c r="A3" s="11" t="inlineStr">
        <is>
          <t>Phase</t>
        </is>
      </c>
      <c r="B3" s="11" t="inlineStr">
        <is>
          <t>Période</t>
        </is>
      </c>
      <c r="C3" s="11" t="inlineStr">
        <is>
          <t>Actions clés</t>
        </is>
      </c>
      <c r="D3" s="11" t="inlineStr">
        <is>
          <t>Objectif</t>
        </is>
      </c>
    </row>
    <row r="4" ht="72" customHeight="1">
      <c r="A4" s="56" t="inlineStr">
        <is>
          <t>Phase 1
Amorçage</t>
        </is>
      </c>
      <c r="B4" s="57" t="inlineStr">
        <is>
          <t>Mois 1-2</t>
        </is>
      </c>
      <c r="C4" s="58" t="inlineStr">
        <is>
          <t>Signer 5-8 partenaires fondateurs (assurance, conseil, lounge, télécom). Émettre les premières cartes. 20 membres pilotes issus du réseau CN.</t>
        </is>
      </c>
      <c r="D4" s="59" t="inlineStr">
        <is>
          <t>20 membres actifs</t>
        </is>
      </c>
    </row>
    <row r="5" ht="72" customHeight="1">
      <c r="A5" s="56" t="inlineStr">
        <is>
          <t>Phase 2
Structuration</t>
        </is>
      </c>
      <c r="B5" s="57" t="inlineStr">
        <is>
          <t>Mois 3-6</t>
        </is>
      </c>
      <c r="C5" s="58" t="inlineStr">
        <is>
          <t>App membre + CRM. Élargir à 10 branches. Preuve d'usage &amp; témoignages. Grille de commissions partenaires.</t>
        </is>
      </c>
      <c r="D5" s="59" t="inlineStr">
        <is>
          <t>~100 membres</t>
        </is>
      </c>
    </row>
    <row r="6" ht="72" customHeight="1">
      <c r="A6" s="56" t="inlineStr">
        <is>
          <t>Phase 3
Accélération</t>
        </is>
      </c>
      <c r="B6" s="57" t="inlineStr">
        <is>
          <t>Mois 7-18</t>
        </is>
      </c>
      <c r="C6" s="58" t="inlineStr">
        <is>
          <t>Campagnes ciblées (CNP, chambres, DER/FJ). Les 15 branches actives. Événements networking mensuels.</t>
        </is>
      </c>
      <c r="D6" s="59" t="inlineStr">
        <is>
          <t>Cap des 500 franchi</t>
        </is>
      </c>
    </row>
    <row r="7" ht="72" customHeight="1">
      <c r="A7" s="56" t="inlineStr">
        <is>
          <t>Phase 4
Expansion régionale</t>
        </is>
      </c>
      <c r="B7" s="57" t="inlineStr">
        <is>
          <t>Mois 19-36</t>
        </is>
      </c>
      <c r="C7" s="58" t="inlineStr">
        <is>
          <t>Ouverture UEMOA (Abidjan, Bamako, Cotonou). Formules corporate multi-cartes. Programme de parrainage.</t>
        </is>
      </c>
      <c r="D7" s="59" t="inlineStr">
        <is>
          <t>850+ membres</t>
        </is>
      </c>
    </row>
    <row r="9">
      <c r="A9" s="20" t="inlineStr">
        <is>
          <t>PROCHAINES ACTIONS IMMÉDIATES</t>
        </is>
      </c>
    </row>
    <row r="10" ht="18" customHeight="1">
      <c r="A10" s="4" t="inlineStr">
        <is>
          <t>☐  Valider la grille tarifaire et le mix cible (feuille Hypotheses).</t>
        </is>
      </c>
    </row>
    <row r="11" ht="18" customHeight="1">
      <c r="A11" s="4" t="inlineStr">
        <is>
          <t>☐  Prioriser 5 partenaires fondateurs et négocier les taux de remise / commission.</t>
        </is>
      </c>
    </row>
    <row r="12" ht="18" customHeight="1">
      <c r="A12" s="4" t="inlineStr">
        <is>
          <t>☐  Concevoir la carte (physique + digitale) et le kit de bienvenue.</t>
        </is>
      </c>
    </row>
    <row r="13" ht="18" customHeight="1">
      <c r="A13" s="4" t="inlineStr">
        <is>
          <t>☐  Rédiger les conditions d'adhésion et la charte partenaires.</t>
        </is>
      </c>
    </row>
    <row r="14" ht="18" customHeight="1">
      <c r="A14" s="4" t="inlineStr">
        <is>
          <t>☐  Lancer le pilote 20 membres issus du réseau CN pour affiner les probabilités réelles de consommation.</t>
        </is>
      </c>
    </row>
  </sheetData>
  <mergeCells count="7">
    <mergeCell ref="A1:D1"/>
    <mergeCell ref="A9:D9"/>
    <mergeCell ref="A12:D12"/>
    <mergeCell ref="A11:D11"/>
    <mergeCell ref="A10:D10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2026-07-10T14:39:03Z</dcterms:created>
  <dcterms:modified xsi:type="dcterms:W3CDTF">2026-07-10T14:39:03Z</dcterms:modified>
</cp:coreProperties>
</file>